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Gavin Gao\Downloads\"/>
    </mc:Choice>
  </mc:AlternateContent>
  <xr:revisionPtr revIDLastSave="0" documentId="13_ncr:1_{753FC252-8088-464D-8FCA-8988E47F33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项目维度研发经费投入表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1" l="1"/>
  <c r="M3" i="1"/>
  <c r="I18" i="1"/>
  <c r="I17" i="1"/>
  <c r="I16" i="1"/>
  <c r="I15" i="1"/>
  <c r="I14" i="1"/>
  <c r="I13" i="1"/>
  <c r="I12" i="1"/>
  <c r="J12" i="1" s="1"/>
  <c r="I11" i="1"/>
  <c r="J11" i="1" s="1"/>
  <c r="I10" i="1"/>
  <c r="I9" i="1"/>
  <c r="I8" i="1"/>
  <c r="I7" i="1"/>
  <c r="I6" i="1"/>
  <c r="I5" i="1"/>
  <c r="J5" i="1" s="1"/>
  <c r="I4" i="1"/>
  <c r="J4" i="1" s="1"/>
  <c r="I3" i="1"/>
  <c r="J14" i="1" l="1"/>
  <c r="J15" i="1"/>
  <c r="J6" i="1"/>
  <c r="J13" i="1"/>
  <c r="J7" i="1"/>
  <c r="J9" i="1"/>
  <c r="J16" i="1"/>
  <c r="J10" i="1"/>
  <c r="J17" i="1"/>
  <c r="J3" i="1"/>
  <c r="J18" i="1"/>
  <c r="I19" i="1"/>
  <c r="J8" i="1"/>
  <c r="J19" i="1" l="1"/>
</calcChain>
</file>

<file path=xl/sharedStrings.xml><?xml version="1.0" encoding="utf-8"?>
<sst xmlns="http://schemas.openxmlformats.org/spreadsheetml/2006/main" count="60" uniqueCount="29">
  <si>
    <t>项目编码</t>
  </si>
  <si>
    <t>项目名称</t>
  </si>
  <si>
    <t>立项年份</t>
  </si>
  <si>
    <t>类别</t>
  </si>
  <si>
    <t>委外/委内</t>
  </si>
  <si>
    <t>人工成本</t>
  </si>
  <si>
    <t>其他</t>
  </si>
  <si>
    <t>总金额</t>
  </si>
  <si>
    <t>港币</t>
  </si>
  <si>
    <t>人民币</t>
  </si>
  <si>
    <t>Opex</t>
  </si>
  <si>
    <t>Capex</t>
  </si>
  <si>
    <t>R2410XXX</t>
    <phoneticPr fontId="6" type="noConversion"/>
  </si>
  <si>
    <t>R2411XXX</t>
  </si>
  <si>
    <t>R2412XXX</t>
  </si>
  <si>
    <t>R2413XXX</t>
  </si>
  <si>
    <t>R2414XXX</t>
  </si>
  <si>
    <t>R2415XXX</t>
  </si>
  <si>
    <t>R2416XXX</t>
  </si>
  <si>
    <t>R2417XXX</t>
  </si>
  <si>
    <t>R2418XXX</t>
  </si>
  <si>
    <t>R2419XXX</t>
  </si>
  <si>
    <t>R2420XXX</t>
  </si>
  <si>
    <t>R2421XXX</t>
  </si>
  <si>
    <t>R2422XXX</t>
  </si>
  <si>
    <t>R2423XXX</t>
  </si>
  <si>
    <t>R2424XXX</t>
  </si>
  <si>
    <t>R2425XXX</t>
  </si>
  <si>
    <t>XXXX项目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</si>
</sst>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_(* #,##0.00_);_(* \(#,##0.00\);_(* &quot;-&quot;??_);_(@_)"/>
    <numFmt numFmtId="180" formatCode="_(* #,##0.0000_);_(* \(#,##0.0000\);_(* &quot;-&quot;??_);_(@_)"/>
  </numFmts>
  <fonts count="7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2"/>
      <scheme val="minor"/>
    </font>
    <font>
      <sz val="11"/>
      <name val="宋体"/>
      <family val="2"/>
      <scheme val="minor"/>
    </font>
    <font>
      <sz val="11"/>
      <color theme="1"/>
      <name val="宋体"/>
      <family val="2"/>
      <scheme val="minor"/>
    </font>
    <font>
      <sz val="12"/>
      <color theme="1"/>
      <name val="宋体"/>
      <family val="2"/>
      <scheme val="minor"/>
    </font>
    <font>
      <sz val="12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/>
  </cellStyleXfs>
  <cellXfs count="20">
    <xf numFmtId="0" fontId="0" fillId="0" borderId="0" xfId="0"/>
    <xf numFmtId="0" fontId="1" fillId="0" borderId="0" xfId="2">
      <alignment vertical="center"/>
    </xf>
    <xf numFmtId="0" fontId="2" fillId="0" borderId="0" xfId="2" applyFont="1">
      <alignment vertical="center"/>
    </xf>
    <xf numFmtId="0" fontId="1" fillId="2" borderId="0" xfId="2" applyFill="1">
      <alignment vertical="center"/>
    </xf>
    <xf numFmtId="0" fontId="1" fillId="3" borderId="0" xfId="2" applyFill="1">
      <alignment vertical="center"/>
    </xf>
    <xf numFmtId="178" fontId="3" fillId="2" borderId="0" xfId="3" applyFont="1" applyFill="1">
      <alignment vertical="center"/>
    </xf>
    <xf numFmtId="178" fontId="2" fillId="2" borderId="0" xfId="3" applyFont="1" applyFill="1">
      <alignment vertical="center"/>
    </xf>
    <xf numFmtId="0" fontId="2" fillId="3" borderId="0" xfId="2" applyFont="1" applyFill="1">
      <alignment vertical="center"/>
    </xf>
    <xf numFmtId="0" fontId="2" fillId="2" borderId="0" xfId="2" applyFont="1" applyFill="1">
      <alignment vertical="center"/>
    </xf>
    <xf numFmtId="180" fontId="1" fillId="0" borderId="0" xfId="2" applyNumberFormat="1">
      <alignment vertical="center"/>
    </xf>
    <xf numFmtId="178" fontId="1" fillId="2" borderId="0" xfId="2" applyNumberFormat="1" applyFill="1">
      <alignment vertical="center"/>
    </xf>
    <xf numFmtId="178" fontId="1" fillId="3" borderId="0" xfId="2" applyNumberFormat="1" applyFill="1">
      <alignment vertical="center"/>
    </xf>
    <xf numFmtId="178" fontId="2" fillId="2" borderId="0" xfId="2" applyNumberFormat="1" applyFont="1" applyFill="1">
      <alignment vertical="center"/>
    </xf>
    <xf numFmtId="178" fontId="2" fillId="3" borderId="0" xfId="2" applyNumberFormat="1" applyFont="1" applyFill="1">
      <alignment vertical="center"/>
    </xf>
    <xf numFmtId="178" fontId="2" fillId="0" borderId="0" xfId="2" applyNumberFormat="1" applyFont="1">
      <alignment vertical="center"/>
    </xf>
    <xf numFmtId="178" fontId="5" fillId="2" borderId="0" xfId="5" applyNumberFormat="1" applyFont="1" applyFill="1" applyAlignment="1">
      <alignment vertical="center"/>
    </xf>
    <xf numFmtId="178" fontId="1" fillId="0" borderId="0" xfId="2" applyNumberFormat="1">
      <alignment vertical="center"/>
    </xf>
    <xf numFmtId="178" fontId="1" fillId="4" borderId="0" xfId="2" applyNumberFormat="1" applyFill="1">
      <alignment vertical="center"/>
    </xf>
    <xf numFmtId="178" fontId="1" fillId="2" borderId="0" xfId="4" applyFont="1" applyFill="1" applyAlignment="1">
      <alignment vertical="center"/>
    </xf>
    <xf numFmtId="10" fontId="2" fillId="0" borderId="0" xfId="1" applyNumberFormat="1" applyFont="1" applyFill="1" applyAlignment="1">
      <alignment vertical="center"/>
    </xf>
  </cellXfs>
  <cellStyles count="6">
    <cellStyle name="百分比" xfId="1" builtinId="5"/>
    <cellStyle name="常规" xfId="0" builtinId="0"/>
    <cellStyle name="千分位 2" xfId="3" xr:uid="{00000000-0005-0000-0000-000032000000}"/>
    <cellStyle name="千分位 3" xfId="4" xr:uid="{00000000-0005-0000-0000-000033000000}"/>
    <cellStyle name="一般 2" xfId="5" xr:uid="{00000000-0005-0000-0000-000034000000}"/>
    <cellStyle name="一般 3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1/sharedlinks" Target="NUL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24180;&#30740;&#21457;&#38917;&#30446;&#24773;&#20917;(10&#26376;31&#26085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项目维度研发经费投入表"/>
      <sheetName val="Sheet6"/>
      <sheetName val="接收"/>
      <sheetName val="委外费用接收"/>
      <sheetName val="人工by项目"/>
      <sheetName val="人工成本"/>
      <sheetName val="RMB汇率"/>
    </sheetNames>
    <sheetDataSet>
      <sheetData sheetId="0"/>
      <sheetData sheetId="1">
        <row r="4">
          <cell r="C4">
            <v>333000</v>
          </cell>
        </row>
      </sheetData>
      <sheetData sheetId="2">
        <row r="2">
          <cell r="X2">
            <v>99900</v>
          </cell>
        </row>
      </sheetData>
      <sheetData sheetId="3">
        <row r="2">
          <cell r="AC2">
            <v>-348</v>
          </cell>
        </row>
      </sheetData>
      <sheetData sheetId="4"/>
      <sheetData sheetId="5">
        <row r="2">
          <cell r="AC2">
            <v>33200</v>
          </cell>
        </row>
      </sheetData>
      <sheetData sheetId="6">
        <row r="13">
          <cell r="AB13">
            <v>0.9123</v>
          </cell>
          <cell r="AC13">
            <v>0.91700000000000004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zoomScale="115" zoomScaleNormal="115" workbookViewId="0">
      <selection activeCell="D24" sqref="D24"/>
    </sheetView>
  </sheetViews>
  <sheetFormatPr defaultColWidth="9.36328125" defaultRowHeight="14" x14ac:dyDescent="0.25"/>
  <cols>
    <col min="1" max="1" width="1.81640625" style="1" customWidth="1"/>
    <col min="2" max="2" width="22.1796875" style="1" customWidth="1"/>
    <col min="3" max="3" width="70.6328125" style="1" customWidth="1"/>
    <col min="4" max="5" width="15.7265625" style="1" customWidth="1"/>
    <col min="6" max="6" width="17.54296875" style="1" customWidth="1"/>
    <col min="7" max="7" width="17.1796875" style="1" customWidth="1"/>
    <col min="8" max="8" width="12.6328125" style="1" customWidth="1"/>
    <col min="9" max="9" width="17.453125" style="1" customWidth="1"/>
    <col min="10" max="10" width="19" style="1" customWidth="1"/>
    <col min="11" max="11" width="2.1796875" style="1" customWidth="1"/>
    <col min="12" max="12" width="14.90625" style="1" customWidth="1"/>
    <col min="13" max="13" width="16.1796875" style="1" customWidth="1"/>
    <col min="14" max="14" width="16.08984375" style="1" customWidth="1"/>
    <col min="15" max="15" width="13.08984375" style="1" customWidth="1"/>
    <col min="16" max="16384" width="9.36328125" style="1"/>
  </cols>
  <sheetData>
    <row r="1" spans="1:15" x14ac:dyDescent="0.25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7</v>
      </c>
      <c r="K1" s="4"/>
      <c r="L1" s="3"/>
      <c r="M1" s="3"/>
      <c r="N1" s="3"/>
    </row>
    <row r="2" spans="1:15" x14ac:dyDescent="0.25">
      <c r="A2" s="4"/>
      <c r="B2" s="4"/>
      <c r="C2" s="4"/>
      <c r="D2" s="4"/>
      <c r="E2" s="4"/>
      <c r="F2" s="4" t="s">
        <v>8</v>
      </c>
      <c r="G2" s="4" t="s">
        <v>8</v>
      </c>
      <c r="H2" s="4" t="s">
        <v>8</v>
      </c>
      <c r="I2" s="4" t="s">
        <v>8</v>
      </c>
      <c r="J2" s="4" t="s">
        <v>9</v>
      </c>
      <c r="K2" s="4"/>
      <c r="L2" s="3"/>
      <c r="M2" s="3"/>
      <c r="N2" s="3"/>
    </row>
    <row r="3" spans="1:15" x14ac:dyDescent="0.25">
      <c r="A3" s="4"/>
      <c r="B3" s="3" t="s">
        <v>12</v>
      </c>
      <c r="C3" s="3" t="s">
        <v>28</v>
      </c>
      <c r="D3" s="3">
        <v>2024</v>
      </c>
      <c r="E3" s="3" t="s">
        <v>10</v>
      </c>
      <c r="F3" s="5">
        <v>2200000</v>
      </c>
      <c r="G3" s="5"/>
      <c r="H3" s="5">
        <v>2200000</v>
      </c>
      <c r="I3" s="10">
        <f t="shared" ref="I3:I7" si="0">SUM(F3:H3)</f>
        <v>4400000</v>
      </c>
      <c r="J3" s="10">
        <f>I3*$M$3</f>
        <v>4034800</v>
      </c>
      <c r="K3" s="11"/>
      <c r="L3" s="9">
        <f>[1]RMB汇率!AB13</f>
        <v>0.9123</v>
      </c>
      <c r="M3" s="9">
        <f>[1]RMB汇率!AC13</f>
        <v>0.91700000000000004</v>
      </c>
      <c r="N3" s="3"/>
    </row>
    <row r="4" spans="1:15" x14ac:dyDescent="0.25">
      <c r="A4" s="4"/>
      <c r="B4" s="3" t="s">
        <v>13</v>
      </c>
      <c r="C4" s="3" t="s">
        <v>28</v>
      </c>
      <c r="D4" s="3">
        <v>2024</v>
      </c>
      <c r="E4" s="3" t="s">
        <v>11</v>
      </c>
      <c r="F4" s="5">
        <v>2200000</v>
      </c>
      <c r="G4" s="5"/>
      <c r="H4" s="5"/>
      <c r="I4" s="10">
        <f t="shared" si="0"/>
        <v>2200000</v>
      </c>
      <c r="J4" s="10">
        <f>I4*$L$3</f>
        <v>2007060</v>
      </c>
      <c r="K4" s="11"/>
      <c r="L4" s="3"/>
      <c r="M4" s="3"/>
      <c r="N4" s="3"/>
    </row>
    <row r="5" spans="1:15" x14ac:dyDescent="0.25">
      <c r="A5" s="4"/>
      <c r="B5" s="3" t="s">
        <v>14</v>
      </c>
      <c r="C5" s="3" t="s">
        <v>28</v>
      </c>
      <c r="D5" s="3">
        <v>2024</v>
      </c>
      <c r="E5" s="3" t="s">
        <v>11</v>
      </c>
      <c r="F5" s="5">
        <v>2200000</v>
      </c>
      <c r="G5" s="5"/>
      <c r="H5" s="5"/>
      <c r="I5" s="10">
        <f t="shared" si="0"/>
        <v>2200000</v>
      </c>
      <c r="J5" s="10">
        <f>I5*$L$3</f>
        <v>2007060</v>
      </c>
      <c r="K5" s="11"/>
      <c r="L5" s="3"/>
      <c r="M5" s="3"/>
      <c r="N5" s="3"/>
    </row>
    <row r="6" spans="1:15" s="2" customFormat="1" x14ac:dyDescent="0.25">
      <c r="A6" s="7"/>
      <c r="B6" s="3" t="s">
        <v>15</v>
      </c>
      <c r="C6" s="3" t="s">
        <v>28</v>
      </c>
      <c r="D6" s="8">
        <v>2024</v>
      </c>
      <c r="E6" s="8" t="s">
        <v>11</v>
      </c>
      <c r="F6" s="5">
        <v>2200000</v>
      </c>
      <c r="G6" s="6"/>
      <c r="H6" s="6"/>
      <c r="I6" s="10">
        <f t="shared" si="0"/>
        <v>2200000</v>
      </c>
      <c r="J6" s="12">
        <f>I6*$L$3</f>
        <v>2007060</v>
      </c>
      <c r="K6" s="13"/>
      <c r="L6" s="8"/>
      <c r="M6" s="8"/>
      <c r="N6" s="3"/>
      <c r="O6" s="14"/>
    </row>
    <row r="7" spans="1:15" s="2" customFormat="1" x14ac:dyDescent="0.25">
      <c r="A7" s="7"/>
      <c r="B7" s="3" t="s">
        <v>16</v>
      </c>
      <c r="C7" s="3" t="s">
        <v>28</v>
      </c>
      <c r="D7" s="8">
        <v>2025</v>
      </c>
      <c r="E7" s="8" t="s">
        <v>10</v>
      </c>
      <c r="F7" s="5">
        <v>2200000</v>
      </c>
      <c r="G7" s="5">
        <v>2200000</v>
      </c>
      <c r="H7" s="3"/>
      <c r="I7" s="10">
        <f t="shared" si="0"/>
        <v>4400000</v>
      </c>
      <c r="J7" s="12">
        <f>I7*$M$3</f>
        <v>4034800</v>
      </c>
      <c r="K7" s="13"/>
      <c r="L7" s="8"/>
      <c r="M7" s="8"/>
      <c r="N7" s="3"/>
    </row>
    <row r="8" spans="1:15" s="2" customFormat="1" ht="15" x14ac:dyDescent="0.25">
      <c r="A8" s="7"/>
      <c r="B8" s="3" t="s">
        <v>17</v>
      </c>
      <c r="C8" s="3" t="s">
        <v>28</v>
      </c>
      <c r="D8" s="8">
        <v>2025</v>
      </c>
      <c r="E8" s="8" t="s">
        <v>10</v>
      </c>
      <c r="F8" s="5">
        <v>2200000</v>
      </c>
      <c r="G8" s="5">
        <v>2200000</v>
      </c>
      <c r="H8" s="3"/>
      <c r="I8" s="10">
        <f>SUM(F8:G8)</f>
        <v>4400000</v>
      </c>
      <c r="J8" s="12">
        <f>I8*$M$3</f>
        <v>4034800</v>
      </c>
      <c r="K8" s="13"/>
      <c r="L8" s="15"/>
      <c r="M8" s="15"/>
      <c r="N8" s="3"/>
    </row>
    <row r="9" spans="1:15" x14ac:dyDescent="0.25">
      <c r="A9" s="4"/>
      <c r="B9" s="3" t="s">
        <v>18</v>
      </c>
      <c r="C9" s="3" t="s">
        <v>28</v>
      </c>
      <c r="D9" s="3"/>
      <c r="E9" s="3"/>
      <c r="F9" s="5">
        <v>2200000</v>
      </c>
      <c r="G9" s="5">
        <v>2200000</v>
      </c>
      <c r="H9" s="3"/>
      <c r="I9" s="10">
        <f>SUM(F9:G9)</f>
        <v>4400000</v>
      </c>
      <c r="J9" s="10">
        <f>I9*$M$3</f>
        <v>4034800</v>
      </c>
      <c r="K9" s="11"/>
      <c r="L9" s="3"/>
      <c r="M9" s="3"/>
      <c r="N9" s="3"/>
    </row>
    <row r="10" spans="1:15" x14ac:dyDescent="0.25">
      <c r="A10" s="4"/>
      <c r="B10" s="3" t="s">
        <v>19</v>
      </c>
      <c r="C10" s="3" t="s">
        <v>28</v>
      </c>
      <c r="D10" s="3"/>
      <c r="E10" s="3"/>
      <c r="F10" s="5">
        <v>2200000</v>
      </c>
      <c r="G10" s="5">
        <v>2200000</v>
      </c>
      <c r="H10" s="3"/>
      <c r="I10" s="10">
        <f t="shared" ref="I10:I14" si="1">SUM(F10:H10)</f>
        <v>4400000</v>
      </c>
      <c r="J10" s="10">
        <f>I10*$M$3</f>
        <v>4034800</v>
      </c>
      <c r="K10" s="11"/>
      <c r="L10" s="3"/>
      <c r="M10" s="3"/>
      <c r="N10" s="3"/>
    </row>
    <row r="11" spans="1:15" x14ac:dyDescent="0.25">
      <c r="A11" s="4"/>
      <c r="B11" s="3" t="s">
        <v>20</v>
      </c>
      <c r="C11" s="3" t="s">
        <v>28</v>
      </c>
      <c r="D11" s="3">
        <v>2025</v>
      </c>
      <c r="E11" s="3" t="s">
        <v>10</v>
      </c>
      <c r="F11" s="5">
        <v>2200000</v>
      </c>
      <c r="G11" s="5">
        <v>2200000</v>
      </c>
      <c r="H11" s="3"/>
      <c r="I11" s="10">
        <f t="shared" si="1"/>
        <v>4400000</v>
      </c>
      <c r="J11" s="10">
        <f>I11*$M$3</f>
        <v>4034800</v>
      </c>
      <c r="K11" s="11"/>
      <c r="L11" s="3"/>
      <c r="M11" s="3"/>
      <c r="N11" s="3"/>
    </row>
    <row r="12" spans="1:15" x14ac:dyDescent="0.25">
      <c r="A12" s="4"/>
      <c r="B12" s="3" t="s">
        <v>21</v>
      </c>
      <c r="C12" s="3" t="s">
        <v>28</v>
      </c>
      <c r="D12" s="3">
        <v>2025</v>
      </c>
      <c r="E12" s="3" t="s">
        <v>10</v>
      </c>
      <c r="F12" s="5">
        <v>2200000</v>
      </c>
      <c r="G12" s="5">
        <v>2200000</v>
      </c>
      <c r="H12" s="3"/>
      <c r="I12" s="10">
        <f t="shared" si="1"/>
        <v>4400000</v>
      </c>
      <c r="J12" s="10">
        <f>I12*$M$3</f>
        <v>4034800</v>
      </c>
      <c r="K12" s="11"/>
      <c r="L12" s="3"/>
      <c r="M12" s="3"/>
      <c r="N12" s="3"/>
    </row>
    <row r="13" spans="1:15" x14ac:dyDescent="0.25">
      <c r="A13" s="4"/>
      <c r="B13" s="3" t="s">
        <v>22</v>
      </c>
      <c r="C13" s="3" t="s">
        <v>28</v>
      </c>
      <c r="D13" s="3">
        <v>2025</v>
      </c>
      <c r="E13" s="3" t="s">
        <v>10</v>
      </c>
      <c r="F13" s="5">
        <v>2200000</v>
      </c>
      <c r="G13" s="5">
        <v>2200000</v>
      </c>
      <c r="H13" s="3"/>
      <c r="I13" s="10">
        <f t="shared" si="1"/>
        <v>4400000</v>
      </c>
      <c r="J13" s="10">
        <f>I13*$M$3</f>
        <v>4034800</v>
      </c>
      <c r="K13" s="11"/>
      <c r="L13" s="3"/>
      <c r="M13" s="3"/>
      <c r="N13" s="3"/>
    </row>
    <row r="14" spans="1:15" x14ac:dyDescent="0.25">
      <c r="A14" s="4"/>
      <c r="B14" s="3" t="s">
        <v>23</v>
      </c>
      <c r="C14" s="3" t="s">
        <v>28</v>
      </c>
      <c r="D14" s="3">
        <v>2025</v>
      </c>
      <c r="E14" s="3" t="s">
        <v>10</v>
      </c>
      <c r="F14" s="5">
        <v>2200000</v>
      </c>
      <c r="G14" s="5">
        <v>2200000</v>
      </c>
      <c r="H14" s="3"/>
      <c r="I14" s="10">
        <f t="shared" si="1"/>
        <v>4400000</v>
      </c>
      <c r="J14" s="10">
        <f>I14*$M$3</f>
        <v>4034800</v>
      </c>
      <c r="K14" s="11"/>
      <c r="L14" s="3"/>
      <c r="M14" s="3"/>
      <c r="N14" s="3"/>
    </row>
    <row r="15" spans="1:15" x14ac:dyDescent="0.25">
      <c r="A15" s="4"/>
      <c r="B15" s="3" t="s">
        <v>24</v>
      </c>
      <c r="C15" s="3" t="s">
        <v>28</v>
      </c>
      <c r="D15" s="3">
        <v>2025</v>
      </c>
      <c r="E15" s="3" t="s">
        <v>10</v>
      </c>
      <c r="F15" s="5">
        <v>2200000</v>
      </c>
      <c r="G15" s="5">
        <v>2200000</v>
      </c>
      <c r="H15" s="3"/>
      <c r="I15" s="10">
        <f>SUM(F15:G15)</f>
        <v>4400000</v>
      </c>
      <c r="J15" s="10">
        <f>I15*$M$3</f>
        <v>4034800</v>
      </c>
      <c r="K15" s="11"/>
      <c r="L15" s="3"/>
      <c r="M15" s="3"/>
      <c r="N15" s="3"/>
    </row>
    <row r="16" spans="1:15" x14ac:dyDescent="0.25">
      <c r="A16" s="4"/>
      <c r="B16" s="3" t="s">
        <v>25</v>
      </c>
      <c r="C16" s="3" t="s">
        <v>28</v>
      </c>
      <c r="D16" s="3">
        <v>2025</v>
      </c>
      <c r="E16" s="3" t="s">
        <v>10</v>
      </c>
      <c r="F16" s="5">
        <v>2200000</v>
      </c>
      <c r="G16" s="5">
        <v>2200000</v>
      </c>
      <c r="H16" s="3"/>
      <c r="I16" s="10">
        <f>SUM(F16:G16)</f>
        <v>4400000</v>
      </c>
      <c r="J16" s="10">
        <f>I16*$M$3</f>
        <v>4034800</v>
      </c>
      <c r="K16" s="11"/>
      <c r="L16" s="3"/>
      <c r="M16" s="3"/>
      <c r="N16" s="3"/>
    </row>
    <row r="17" spans="1:15" x14ac:dyDescent="0.25">
      <c r="A17" s="4"/>
      <c r="B17" s="3" t="s">
        <v>26</v>
      </c>
      <c r="C17" s="3" t="s">
        <v>28</v>
      </c>
      <c r="D17" s="3">
        <v>2025</v>
      </c>
      <c r="E17" s="3" t="s">
        <v>10</v>
      </c>
      <c r="F17" s="5">
        <v>2200000</v>
      </c>
      <c r="G17" s="5">
        <v>2200000</v>
      </c>
      <c r="H17" s="3"/>
      <c r="I17" s="10">
        <f>SUM(F17:H17)</f>
        <v>4400000</v>
      </c>
      <c r="J17" s="10">
        <f>I17*$M$3</f>
        <v>4034800</v>
      </c>
      <c r="K17" s="4"/>
      <c r="L17" s="3"/>
      <c r="M17" s="3"/>
      <c r="N17" s="3"/>
    </row>
    <row r="18" spans="1:15" x14ac:dyDescent="0.25">
      <c r="A18" s="4"/>
      <c r="B18" s="3" t="s">
        <v>27</v>
      </c>
      <c r="C18" s="3" t="s">
        <v>28</v>
      </c>
      <c r="D18" s="3">
        <v>2025</v>
      </c>
      <c r="E18" s="8" t="s">
        <v>11</v>
      </c>
      <c r="F18" s="5">
        <v>2200000</v>
      </c>
      <c r="G18" s="5"/>
      <c r="H18" s="3"/>
      <c r="I18" s="10">
        <f>SUM(F18:H18)</f>
        <v>2200000</v>
      </c>
      <c r="J18" s="10">
        <f>I18*$L$3</f>
        <v>2007060</v>
      </c>
      <c r="K18" s="4"/>
      <c r="L18" s="3"/>
      <c r="M18" s="3"/>
      <c r="N18" s="3"/>
      <c r="O18" s="16"/>
    </row>
    <row r="19" spans="1:15" x14ac:dyDescent="0.25">
      <c r="A19" s="4"/>
      <c r="B19" s="3"/>
      <c r="C19" s="3"/>
      <c r="D19" s="3"/>
      <c r="E19" s="3"/>
      <c r="F19" s="3"/>
      <c r="G19" s="3"/>
      <c r="H19" s="3"/>
      <c r="I19" s="10">
        <f>SUM(I3:I18)</f>
        <v>61600000</v>
      </c>
      <c r="J19" s="17">
        <f>SUM(J3:J18)</f>
        <v>56445840</v>
      </c>
      <c r="K19" s="11"/>
      <c r="L19" s="3"/>
      <c r="M19" s="3"/>
      <c r="N19" s="3"/>
      <c r="O19" s="16"/>
    </row>
    <row r="20" spans="1:15" x14ac:dyDescent="0.25">
      <c r="A20" s="4"/>
      <c r="B20" s="3"/>
      <c r="C20" s="3"/>
      <c r="D20" s="3"/>
      <c r="E20" s="3"/>
      <c r="F20" s="3"/>
      <c r="G20" s="3"/>
      <c r="H20" s="3"/>
      <c r="I20" s="10"/>
      <c r="J20" s="10"/>
      <c r="K20" s="11"/>
      <c r="L20" s="18"/>
      <c r="M20" s="3"/>
      <c r="N20" s="3"/>
    </row>
    <row r="21" spans="1:15" ht="9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M21" s="3"/>
      <c r="N21" s="3"/>
    </row>
    <row r="22" spans="1:1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19"/>
      <c r="M22" s="19"/>
      <c r="N22" s="19"/>
    </row>
    <row r="23" spans="1:1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19"/>
      <c r="M23" s="19"/>
      <c r="N23" s="19"/>
    </row>
    <row r="24" spans="1:1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19"/>
      <c r="M24" s="19"/>
      <c r="N24" s="19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19"/>
      <c r="M25" s="19"/>
      <c r="N25" s="19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19"/>
      <c r="M26" s="19"/>
      <c r="N26" s="19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19"/>
      <c r="M27" s="19"/>
      <c r="N27" s="19"/>
    </row>
    <row r="28" spans="1:1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19"/>
      <c r="M28" s="19"/>
      <c r="N28" s="19"/>
    </row>
    <row r="29" spans="1:1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19"/>
      <c r="M29" s="19"/>
      <c r="N29" s="19"/>
    </row>
    <row r="30" spans="1:1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19"/>
      <c r="M30" s="19"/>
      <c r="N30" s="19"/>
    </row>
    <row r="31" spans="1:1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19"/>
      <c r="M31" s="19"/>
      <c r="N31" s="19"/>
    </row>
    <row r="32" spans="1:1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19"/>
      <c r="M32" s="19"/>
      <c r="N32" s="19"/>
    </row>
    <row r="33" spans="1:14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19"/>
      <c r="M33" s="19"/>
      <c r="N33" s="19"/>
    </row>
    <row r="34" spans="1:14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19"/>
      <c r="M34" s="19"/>
      <c r="N34" s="19"/>
    </row>
    <row r="35" spans="1:14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19"/>
      <c r="M35" s="19"/>
      <c r="N35" s="19"/>
    </row>
    <row r="36" spans="1:14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19"/>
      <c r="M36" s="19"/>
      <c r="N36" s="19"/>
    </row>
    <row r="37" spans="1:14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19"/>
      <c r="M37" s="19"/>
      <c r="N37" s="19"/>
    </row>
    <row r="38" spans="1:14" x14ac:dyDescent="0.25">
      <c r="J38" s="9"/>
      <c r="K38" s="2"/>
      <c r="L38" s="19"/>
      <c r="M38" s="19"/>
      <c r="N38" s="19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项目维度研发经费投入表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Huang Xinyu</dc:creator>
  <cp:lastModifiedBy>Gavin Gao</cp:lastModifiedBy>
  <dcterms:created xsi:type="dcterms:W3CDTF">2025-07-21T09:59:00Z</dcterms:created>
  <dcterms:modified xsi:type="dcterms:W3CDTF">2026-04-02T02:39:54Z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7CCA3A6EBCF641C69C8D1E94207DD70F_12</vt:lpwstr>
  </property>
  <property fmtid="{D5CDD505-2E9C-101B-9397-08002B2CF9AE}" pid="3" name="KSOProductBuildVer">
    <vt:lpwstr>1033-12.2.0.22530</vt:lpwstr>
  </property>
</Properties>
</file>