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filterPrivacy="1"/>
  <xr:revisionPtr revIDLastSave="0" documentId="13_ncr:1_{5D81C2CD-8E34-4E7B-B1B6-E022144DD38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研发项目进度表-四季度双周报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16" i="2" l="1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H16" i="2"/>
</calcChain>
</file>

<file path=xl/sharedStrings.xml><?xml version="1.0" encoding="utf-8"?>
<sst xmlns="http://schemas.openxmlformats.org/spreadsheetml/2006/main" count="297" uniqueCount="109">
  <si>
    <t>序号</t>
  </si>
  <si>
    <t>Lv1分类</t>
  </si>
  <si>
    <t>Lv2分类</t>
  </si>
  <si>
    <t>项目编码</t>
  </si>
  <si>
    <t>项目名称</t>
  </si>
  <si>
    <t>部门</t>
  </si>
  <si>
    <t>项目负责人</t>
  </si>
  <si>
    <t>2025年预算金额（万港币）</t>
  </si>
  <si>
    <t>委托预算(内|外)（万港币）</t>
  </si>
  <si>
    <t>人工预算（万港币）</t>
  </si>
  <si>
    <t>已完成研发投入（万港币）</t>
  </si>
  <si>
    <t>9月计划完成数（累计）（万港元）</t>
  </si>
  <si>
    <t>9月要求完成数（累计，万港元）</t>
  </si>
  <si>
    <t>10月预计累计完成数</t>
  </si>
  <si>
    <t>截至18/9项目进展</t>
  </si>
  <si>
    <t>截至19/9项目进展</t>
  </si>
  <si>
    <t>截至22/9项目进展</t>
  </si>
  <si>
    <t>截至23/9项目进展</t>
  </si>
  <si>
    <t>截至24/9项目进展</t>
  </si>
  <si>
    <t>截至 25/9 项目进展</t>
  </si>
  <si>
    <t>截至 26/9 项目进展</t>
  </si>
  <si>
    <t>10月实际完成数</t>
  </si>
  <si>
    <t>11月预计累计完成数</t>
  </si>
  <si>
    <t>截至 29/9 项目进展</t>
  </si>
  <si>
    <t>截至15/10 项目进展 （1/10-15/10）</t>
  </si>
  <si>
    <t>截至 31/10 项目进展 （15/10-31/10）</t>
  </si>
  <si>
    <t>截至 13/11 项目进展 （1/11- 13/11）</t>
  </si>
  <si>
    <t>截至 28/11 项目进展</t>
  </si>
  <si>
    <t>当前项目进展</t>
  </si>
  <si>
    <t>父记录</t>
  </si>
  <si>
    <t>Capex</t>
  </si>
  <si>
    <t>结转</t>
  </si>
  <si>
    <t>24年资本支出 160.8万，25年资本支出 497.5万，已经全部完成转资。</t>
  </si>
  <si>
    <t>已经完成转资</t>
  </si>
  <si>
    <t>-</t>
  </si>
  <si>
    <t>Homson：7月4日已完成 $HK 5985672.6 完成100%转资
aaron：USSD下沉部分 7月16日 $HK 597420 已经完成100%转资
24年资本支出 160.8万，25年资本支出 497.5万，已经全部完成转资。</t>
  </si>
  <si>
    <t>计划内</t>
  </si>
  <si>
    <t>Opex</t>
  </si>
  <si>
    <t>计划外新增</t>
  </si>
  <si>
    <t>合计</t>
  </si>
  <si>
    <t>R242XXXX</t>
    <phoneticPr fontId="2" type="noConversion"/>
  </si>
  <si>
    <t>R243XXXX</t>
  </si>
  <si>
    <t>R244XXXX</t>
  </si>
  <si>
    <t>R245XXXX</t>
  </si>
  <si>
    <t>R246XXXX</t>
  </si>
  <si>
    <t>R247XXXX</t>
  </si>
  <si>
    <t>R248XXXX</t>
  </si>
  <si>
    <t>R249XXXX</t>
  </si>
  <si>
    <t>R250XXXX</t>
  </si>
  <si>
    <t>R251XXXX</t>
  </si>
  <si>
    <t>R252XXXX</t>
  </si>
  <si>
    <t>R253XXXX</t>
  </si>
  <si>
    <t>R254XXXX</t>
  </si>
  <si>
    <t>R255XXXX</t>
  </si>
  <si>
    <t>2024年xxxx开发项目</t>
    <phoneticPr fontId="2" type="noConversion"/>
  </si>
  <si>
    <t>2025年xxxx开发项目</t>
  </si>
  <si>
    <t>2026年xxxx开发项目</t>
  </si>
  <si>
    <t>2027年xxxx开发项目</t>
  </si>
  <si>
    <t>2028年xxxx开发项目</t>
  </si>
  <si>
    <t>2029年xxxx开发项目</t>
  </si>
  <si>
    <t>2030年xxxx开发项目</t>
  </si>
  <si>
    <t>2031年xxxx开发项目</t>
  </si>
  <si>
    <t>2032年xxxx开发项目</t>
  </si>
  <si>
    <t>2033年xxxx开发项目</t>
  </si>
  <si>
    <t>2034年xxxx开发项目</t>
  </si>
  <si>
    <t>2035年xxxx开发项目</t>
  </si>
  <si>
    <t>2036年xxxx开发项目</t>
  </si>
  <si>
    <t>2037年xxxx开发项目</t>
  </si>
  <si>
    <t>张三</t>
    <phoneticPr fontId="2" type="noConversion"/>
  </si>
  <si>
    <t>24年资本支出 160.8万，25年资本支出 497.6万，已经全部完成转资。</t>
  </si>
  <si>
    <t>Homson：7月4日已完成 $HK 5985672.6 完成100%转资
aaron：USSD下沉部分 7月16日 $HK 597420 已经完成100%转资
24年资本支出 160.8万，25年资本支出 497.6万，已经全部完成转资。</t>
  </si>
  <si>
    <t>24年资本支出 160.8万，25年资本支出 497.7万，已经全部完成转资。</t>
  </si>
  <si>
    <t>Homson：7月4日已完成 $HK 5985672.6 完成100%转资
aaron：USSD下沉部分 7月16日 $HK 597420 已经完成100%转资
24年资本支出 160.8万，25年资本支出 497.7万，已经全部完成转资。</t>
  </si>
  <si>
    <t>24年资本支出 160.8万，25年资本支出 497.8万，已经全部完成转资。</t>
  </si>
  <si>
    <t>Homson：7月4日已完成 $HK 5985672.6 完成100%转资
aaron：USSD下沉部分 7月16日 $HK 597420 已经完成100%转资
24年资本支出 160.8万，25年资本支出 497.8万，已经全部完成转资。</t>
  </si>
  <si>
    <t>24年资本支出 160.8万，25年资本支出 497.9万，已经全部完成转资。</t>
  </si>
  <si>
    <t>Homson：7月4日已完成 $HK 5985672.6 完成100%转资
aaron：USSD下沉部分 7月16日 $HK 597420 已经完成100%转资
24年资本支出 160.8万，25年资本支出 497.9万，已经全部完成转资。</t>
  </si>
  <si>
    <t>24年资本支出 160.8万，25年资本支出 497.10万，已经全部完成转资。</t>
  </si>
  <si>
    <t>Homson：7月4日已完成 $HK 5985672.6 完成100%转资
aaron：USSD下沉部分 7月16日 $HK 597420 已经完成100%转资
24年资本支出 160.8万，25年资本支出 497.10万，已经全部完成转资。</t>
  </si>
  <si>
    <t>24年资本支出 160.8万，25年资本支出 497.11万，已经全部完成转资。</t>
  </si>
  <si>
    <t>Homson：7月4日已完成 $HK 5985672.6 完成100%转资
aaron：USSD下沉部分 7月16日 $HK 597420 已经完成100%转资
24年资本支出 160.8万，25年资本支出 497.11万，已经全部完成转资。</t>
  </si>
  <si>
    <t>24年资本支出 160.8万，25年资本支出 497.12万，已经全部完成转资。</t>
  </si>
  <si>
    <t>Homson：7月4日已完成 $HK 5985672.6 完成100%转资
aaron：USSD下沉部分 7月16日 $HK 597420 已经完成100%转资
24年资本支出 160.8万，25年资本支出 497.12万，已经全部完成转资。</t>
  </si>
  <si>
    <t>24年资本支出 160.8万，25年资本支出 497.13万，已经全部完成转资。</t>
  </si>
  <si>
    <t>Homson：7月4日已完成 $HK 5985672.6 完成100%转资
aaron：USSD下沉部分 7月16日 $HK 597420 已经完成100%转资
24年资本支出 160.8万，25年资本支出 497.13万，已经全部完成转资。</t>
  </si>
  <si>
    <t>24年资本支出 160.8万，25年资本支出 497.14万，已经全部完成转资。</t>
  </si>
  <si>
    <t>Homson：7月4日已完成 $HK 5985672.6 完成100%转资
aaron：USSD下沉部分 7月16日 $HK 597420 已经完成100%转资
24年资本支出 160.8万，25年资本支出 497.14万，已经全部完成转资。</t>
  </si>
  <si>
    <t>24年资本支出 160.8万，25年资本支出 497.15万，已经全部完成转资。</t>
  </si>
  <si>
    <t>Homson：7月4日已完成 $HK 5985672.6 完成100%转资
aaron：USSD下沉部分 7月16日 $HK 597420 已经完成100%转资
24年资本支出 160.8万，25年资本支出 497.15万，已经全部完成转资。</t>
  </si>
  <si>
    <t>24年资本支出 160.8万，25年资本支出 497.16万，已经全部完成转资。</t>
  </si>
  <si>
    <t>Homson：7月4日已完成 $HK 5985672.6 完成100%转资
aaron：USSD下沉部分 7月16日 $HK 597420 已经完成100%转资
24年资本支出 160.8万，25年资本支出 497.16万，已经全部完成转资。</t>
  </si>
  <si>
    <t>24年资本支出 160.8万，25年资本支出 497.17万，已经全部完成转资。</t>
  </si>
  <si>
    <t>Homson：7月4日已完成 $HK 5985672.6 完成100%转资
aaron：USSD下沉部分 7月16日 $HK 597420 已经完成100%转资
24年资本支出 160.8万，25年资本支出 497.17万，已经全部完成转资。</t>
  </si>
  <si>
    <t>24年资本支出 160.8万，25年资本支出 497.18万，已经全部完成转资。</t>
  </si>
  <si>
    <t>Homson：7月4日已完成 $HK 5985672.6 完成100%转资
aaron：USSD下沉部分 7月16日 $HK 597420 已经完成100%转资
24年资本支出 160.8万，25年资本支出 497.18万，已经全部完成转资。</t>
  </si>
  <si>
    <t>部门1</t>
    <phoneticPr fontId="2" type="noConversion"/>
  </si>
  <si>
    <t>部门2</t>
  </si>
  <si>
    <t>部门3</t>
  </si>
  <si>
    <t>部门4</t>
  </si>
  <si>
    <t>部门5</t>
  </si>
  <si>
    <t>部门6</t>
  </si>
  <si>
    <t>部门7</t>
  </si>
  <si>
    <t>部门8</t>
  </si>
  <si>
    <t>部门9</t>
  </si>
  <si>
    <t>部门10</t>
  </si>
  <si>
    <t>部门11</t>
  </si>
  <si>
    <t>部门12</t>
  </si>
  <si>
    <t>部门13</t>
  </si>
  <si>
    <t>部门14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</si>
</sst>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DengXian"/>
      <family val="2"/>
    </font>
    <font>
      <sz val="1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常规" xfId="0" builtinId="0" customBuiltin="1"/>
  </cellStyles>
  <dxfs count="4">
    <dxf>
      <fill>
        <patternFill patternType="solid">
          <bgColor rgb="FFF0F4FF"/>
        </patternFill>
      </fill>
    </dxf>
    <dxf>
      <fill>
        <patternFill patternType="solid">
          <bgColor rgb="FFF0F4FF"/>
        </patternFill>
      </fill>
    </dxf>
    <dxf>
      <fill>
        <patternFill patternType="solid">
          <bgColor rgb="FFFBF4DF"/>
        </patternFill>
      </fill>
    </dxf>
    <dxf>
      <fill>
        <patternFill patternType="solid">
          <bgColor rgb="FFFBF4D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7"/>
  <sheetViews>
    <sheetView tabSelected="1" topLeftCell="E4" workbookViewId="0">
      <selection activeCell="F2" sqref="F2:F15"/>
    </sheetView>
  </sheetViews>
  <sheetFormatPr defaultRowHeight="14"/>
  <cols>
    <col min="1" max="8" width="19" customWidth="1"/>
    <col min="9" max="13" width="0" hidden="1" customWidth="1"/>
    <col min="14" max="14" width="19" customWidth="1"/>
    <col min="15" max="21" width="0" hidden="1" customWidth="1"/>
    <col min="22" max="28" width="19" customWidth="1"/>
    <col min="29" max="29" width="0" hidden="1" customWidth="1"/>
    <col min="30" max="30" width="19" customWidth="1"/>
  </cols>
  <sheetData>
    <row r="1" spans="1:30" ht="1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38.25" customHeight="1">
      <c r="A2">
        <v>1</v>
      </c>
      <c r="B2" t="s">
        <v>30</v>
      </c>
      <c r="C2" t="s">
        <v>31</v>
      </c>
      <c r="D2" t="s">
        <v>40</v>
      </c>
      <c r="E2" t="s">
        <v>54</v>
      </c>
      <c r="F2" t="s">
        <v>95</v>
      </c>
      <c r="G2" t="s">
        <v>68</v>
      </c>
      <c r="H2">
        <v>222</v>
      </c>
      <c r="I2">
        <v>539.17999999999995</v>
      </c>
      <c r="J2">
        <v>0</v>
      </c>
      <c r="K2">
        <v>498</v>
      </c>
      <c r="L2">
        <v>497.5</v>
      </c>
      <c r="M2">
        <v>497.5</v>
      </c>
      <c r="N2">
        <v>555</v>
      </c>
      <c r="O2" t="s">
        <v>32</v>
      </c>
      <c r="P2" t="s">
        <v>33</v>
      </c>
      <c r="Q2" t="s">
        <v>33</v>
      </c>
      <c r="R2" t="s">
        <v>34</v>
      </c>
      <c r="S2" t="s">
        <v>34</v>
      </c>
      <c r="T2" t="s">
        <v>34</v>
      </c>
      <c r="U2" t="s">
        <v>34</v>
      </c>
      <c r="V2">
        <v>556</v>
      </c>
      <c r="W2">
        <v>600</v>
      </c>
      <c r="X2" t="s">
        <v>34</v>
      </c>
      <c r="Y2" t="s">
        <v>34</v>
      </c>
      <c r="Z2" t="s">
        <v>34</v>
      </c>
      <c r="AA2" t="s">
        <v>34</v>
      </c>
      <c r="AB2" t="s">
        <v>34</v>
      </c>
      <c r="AC2" t="s">
        <v>35</v>
      </c>
    </row>
    <row r="3" spans="1:30" ht="38.25" customHeight="1">
      <c r="A3">
        <v>2</v>
      </c>
      <c r="B3" t="s">
        <v>30</v>
      </c>
      <c r="C3" t="s">
        <v>31</v>
      </c>
      <c r="D3" t="s">
        <v>41</v>
      </c>
      <c r="E3" t="s">
        <v>55</v>
      </c>
      <c r="F3" t="s">
        <v>96</v>
      </c>
      <c r="G3" t="s">
        <v>68</v>
      </c>
      <c r="H3">
        <v>222</v>
      </c>
      <c r="I3">
        <v>539.17999999999995</v>
      </c>
      <c r="J3">
        <v>0</v>
      </c>
      <c r="K3">
        <v>498</v>
      </c>
      <c r="L3">
        <v>497.5</v>
      </c>
      <c r="M3">
        <v>497.5</v>
      </c>
      <c r="N3">
        <v>555</v>
      </c>
      <c r="O3" t="s">
        <v>69</v>
      </c>
      <c r="P3" t="s">
        <v>33</v>
      </c>
      <c r="Q3" t="s">
        <v>33</v>
      </c>
      <c r="R3" t="s">
        <v>34</v>
      </c>
      <c r="S3" t="s">
        <v>34</v>
      </c>
      <c r="T3" t="s">
        <v>34</v>
      </c>
      <c r="U3" t="s">
        <v>34</v>
      </c>
      <c r="V3">
        <v>556</v>
      </c>
      <c r="W3">
        <v>600</v>
      </c>
      <c r="X3" t="s">
        <v>34</v>
      </c>
      <c r="Y3" t="s">
        <v>34</v>
      </c>
      <c r="Z3" t="s">
        <v>34</v>
      </c>
      <c r="AA3" t="s">
        <v>34</v>
      </c>
      <c r="AB3" t="s">
        <v>34</v>
      </c>
      <c r="AC3" t="s">
        <v>70</v>
      </c>
    </row>
    <row r="4" spans="1:30" ht="38.25" customHeight="1">
      <c r="A4">
        <v>3</v>
      </c>
      <c r="B4" t="s">
        <v>30</v>
      </c>
      <c r="C4" t="s">
        <v>31</v>
      </c>
      <c r="D4" t="s">
        <v>42</v>
      </c>
      <c r="E4" t="s">
        <v>56</v>
      </c>
      <c r="F4" t="s">
        <v>97</v>
      </c>
      <c r="G4" t="s">
        <v>68</v>
      </c>
      <c r="H4">
        <v>222</v>
      </c>
      <c r="I4">
        <v>539.17999999999995</v>
      </c>
      <c r="J4">
        <v>0</v>
      </c>
      <c r="K4">
        <v>498</v>
      </c>
      <c r="L4">
        <v>497.5</v>
      </c>
      <c r="M4">
        <v>497.5</v>
      </c>
      <c r="N4">
        <v>555</v>
      </c>
      <c r="O4" t="s">
        <v>71</v>
      </c>
      <c r="P4" t="s">
        <v>33</v>
      </c>
      <c r="Q4" t="s">
        <v>33</v>
      </c>
      <c r="R4" t="s">
        <v>34</v>
      </c>
      <c r="S4" t="s">
        <v>34</v>
      </c>
      <c r="T4" t="s">
        <v>34</v>
      </c>
      <c r="U4" t="s">
        <v>34</v>
      </c>
      <c r="V4">
        <v>556</v>
      </c>
      <c r="W4">
        <v>600</v>
      </c>
      <c r="X4" t="s">
        <v>34</v>
      </c>
      <c r="Y4" t="s">
        <v>34</v>
      </c>
      <c r="Z4" t="s">
        <v>34</v>
      </c>
      <c r="AA4" t="s">
        <v>34</v>
      </c>
      <c r="AB4" t="s">
        <v>34</v>
      </c>
      <c r="AC4" t="s">
        <v>72</v>
      </c>
    </row>
    <row r="5" spans="1:30" ht="38.25" customHeight="1">
      <c r="A5">
        <v>4</v>
      </c>
      <c r="B5" t="s">
        <v>30</v>
      </c>
      <c r="C5" t="s">
        <v>36</v>
      </c>
      <c r="D5" t="s">
        <v>43</v>
      </c>
      <c r="E5" t="s">
        <v>57</v>
      </c>
      <c r="F5" t="s">
        <v>98</v>
      </c>
      <c r="G5" t="s">
        <v>68</v>
      </c>
      <c r="H5">
        <v>222</v>
      </c>
      <c r="I5">
        <v>539.17999999999995</v>
      </c>
      <c r="J5">
        <v>0</v>
      </c>
      <c r="K5">
        <v>498</v>
      </c>
      <c r="L5">
        <v>497.5</v>
      </c>
      <c r="M5">
        <v>497.5</v>
      </c>
      <c r="N5">
        <v>555</v>
      </c>
      <c r="O5" t="s">
        <v>73</v>
      </c>
      <c r="P5" t="s">
        <v>33</v>
      </c>
      <c r="Q5" t="s">
        <v>33</v>
      </c>
      <c r="R5" t="s">
        <v>34</v>
      </c>
      <c r="S5" t="s">
        <v>34</v>
      </c>
      <c r="T5" t="s">
        <v>34</v>
      </c>
      <c r="U5" t="s">
        <v>34</v>
      </c>
      <c r="V5">
        <v>556</v>
      </c>
      <c r="W5">
        <v>600</v>
      </c>
      <c r="X5" t="s">
        <v>34</v>
      </c>
      <c r="Y5" t="s">
        <v>34</v>
      </c>
      <c r="Z5" t="s">
        <v>34</v>
      </c>
      <c r="AA5" t="s">
        <v>34</v>
      </c>
      <c r="AB5" t="s">
        <v>34</v>
      </c>
      <c r="AC5" t="s">
        <v>74</v>
      </c>
    </row>
    <row r="6" spans="1:30" ht="38.25" customHeight="1">
      <c r="A6">
        <v>5</v>
      </c>
      <c r="B6" t="s">
        <v>30</v>
      </c>
      <c r="C6" t="s">
        <v>36</v>
      </c>
      <c r="D6" t="s">
        <v>44</v>
      </c>
      <c r="E6" t="s">
        <v>58</v>
      </c>
      <c r="F6" t="s">
        <v>99</v>
      </c>
      <c r="G6" t="s">
        <v>68</v>
      </c>
      <c r="H6">
        <v>222</v>
      </c>
      <c r="I6">
        <v>539.17999999999995</v>
      </c>
      <c r="J6">
        <v>0</v>
      </c>
      <c r="K6">
        <v>498</v>
      </c>
      <c r="L6">
        <v>497.5</v>
      </c>
      <c r="M6">
        <v>497.5</v>
      </c>
      <c r="N6">
        <v>555</v>
      </c>
      <c r="O6" t="s">
        <v>75</v>
      </c>
      <c r="P6" t="s">
        <v>33</v>
      </c>
      <c r="Q6" t="s">
        <v>33</v>
      </c>
      <c r="R6" t="s">
        <v>34</v>
      </c>
      <c r="S6" t="s">
        <v>34</v>
      </c>
      <c r="T6" t="s">
        <v>34</v>
      </c>
      <c r="U6" t="s">
        <v>34</v>
      </c>
      <c r="V6">
        <v>556</v>
      </c>
      <c r="W6">
        <v>600</v>
      </c>
      <c r="X6" t="s">
        <v>34</v>
      </c>
      <c r="Y6" t="s">
        <v>34</v>
      </c>
      <c r="Z6" t="s">
        <v>34</v>
      </c>
      <c r="AA6" t="s">
        <v>34</v>
      </c>
      <c r="AB6" t="s">
        <v>34</v>
      </c>
      <c r="AC6" t="s">
        <v>76</v>
      </c>
    </row>
    <row r="7" spans="1:30" ht="38.25" customHeight="1">
      <c r="A7">
        <v>6</v>
      </c>
      <c r="B7" t="s">
        <v>37</v>
      </c>
      <c r="C7" t="s">
        <v>36</v>
      </c>
      <c r="D7" t="s">
        <v>45</v>
      </c>
      <c r="E7" t="s">
        <v>59</v>
      </c>
      <c r="F7" t="s">
        <v>100</v>
      </c>
      <c r="G7" t="s">
        <v>68</v>
      </c>
      <c r="H7">
        <v>222</v>
      </c>
      <c r="I7">
        <v>539.17999999999995</v>
      </c>
      <c r="J7">
        <v>0</v>
      </c>
      <c r="K7">
        <v>498</v>
      </c>
      <c r="L7">
        <v>497.5</v>
      </c>
      <c r="M7">
        <v>497.5</v>
      </c>
      <c r="N7">
        <v>555</v>
      </c>
      <c r="O7" t="s">
        <v>77</v>
      </c>
      <c r="P7" t="s">
        <v>33</v>
      </c>
      <c r="Q7" t="s">
        <v>33</v>
      </c>
      <c r="R7" t="s">
        <v>34</v>
      </c>
      <c r="S7" t="s">
        <v>34</v>
      </c>
      <c r="T7" t="s">
        <v>34</v>
      </c>
      <c r="U7" t="s">
        <v>34</v>
      </c>
      <c r="V7">
        <v>556</v>
      </c>
      <c r="W7">
        <v>600</v>
      </c>
      <c r="X7" t="s">
        <v>34</v>
      </c>
      <c r="Y7" t="s">
        <v>34</v>
      </c>
      <c r="Z7" t="s">
        <v>34</v>
      </c>
      <c r="AA7" t="s">
        <v>34</v>
      </c>
      <c r="AB7" t="s">
        <v>34</v>
      </c>
      <c r="AC7" t="s">
        <v>78</v>
      </c>
    </row>
    <row r="8" spans="1:30" ht="38.25" customHeight="1">
      <c r="A8">
        <v>7</v>
      </c>
      <c r="B8" t="s">
        <v>37</v>
      </c>
      <c r="C8" t="s">
        <v>36</v>
      </c>
      <c r="D8" t="s">
        <v>46</v>
      </c>
      <c r="E8" t="s">
        <v>60</v>
      </c>
      <c r="F8" t="s">
        <v>101</v>
      </c>
      <c r="G8" t="s">
        <v>68</v>
      </c>
      <c r="H8">
        <v>222</v>
      </c>
      <c r="I8">
        <v>539.17999999999995</v>
      </c>
      <c r="J8">
        <v>0</v>
      </c>
      <c r="K8">
        <v>498</v>
      </c>
      <c r="L8">
        <v>497.5</v>
      </c>
      <c r="M8">
        <v>497.5</v>
      </c>
      <c r="N8">
        <v>555</v>
      </c>
      <c r="O8" t="s">
        <v>79</v>
      </c>
      <c r="P8" t="s">
        <v>33</v>
      </c>
      <c r="Q8" t="s">
        <v>33</v>
      </c>
      <c r="R8" t="s">
        <v>34</v>
      </c>
      <c r="S8" t="s">
        <v>34</v>
      </c>
      <c r="T8" t="s">
        <v>34</v>
      </c>
      <c r="U8" t="s">
        <v>34</v>
      </c>
      <c r="V8">
        <v>556</v>
      </c>
      <c r="W8">
        <v>600</v>
      </c>
      <c r="X8" t="s">
        <v>34</v>
      </c>
      <c r="Y8" t="s">
        <v>34</v>
      </c>
      <c r="Z8" t="s">
        <v>34</v>
      </c>
      <c r="AA8" t="s">
        <v>34</v>
      </c>
      <c r="AB8" t="s">
        <v>34</v>
      </c>
      <c r="AC8" t="s">
        <v>80</v>
      </c>
    </row>
    <row r="9" spans="1:30" ht="38.25" customHeight="1">
      <c r="A9">
        <v>8</v>
      </c>
      <c r="B9" t="s">
        <v>37</v>
      </c>
      <c r="C9" t="s">
        <v>36</v>
      </c>
      <c r="D9" t="s">
        <v>47</v>
      </c>
      <c r="E9" t="s">
        <v>61</v>
      </c>
      <c r="F9" t="s">
        <v>102</v>
      </c>
      <c r="G9" t="s">
        <v>68</v>
      </c>
      <c r="H9">
        <v>222</v>
      </c>
      <c r="I9">
        <v>539.17999999999995</v>
      </c>
      <c r="J9">
        <v>0</v>
      </c>
      <c r="K9">
        <v>498</v>
      </c>
      <c r="L9">
        <v>497.5</v>
      </c>
      <c r="M9">
        <v>497.5</v>
      </c>
      <c r="N9">
        <v>555</v>
      </c>
      <c r="O9" t="s">
        <v>81</v>
      </c>
      <c r="P9" t="s">
        <v>33</v>
      </c>
      <c r="Q9" t="s">
        <v>33</v>
      </c>
      <c r="R9" t="s">
        <v>34</v>
      </c>
      <c r="S9" t="s">
        <v>34</v>
      </c>
      <c r="T9" t="s">
        <v>34</v>
      </c>
      <c r="U9" t="s">
        <v>34</v>
      </c>
      <c r="V9">
        <v>556</v>
      </c>
      <c r="W9">
        <v>600</v>
      </c>
      <c r="X9" t="s">
        <v>34</v>
      </c>
      <c r="Y9" t="s">
        <v>34</v>
      </c>
      <c r="Z9" t="s">
        <v>34</v>
      </c>
      <c r="AA9" t="s">
        <v>34</v>
      </c>
      <c r="AB9" t="s">
        <v>34</v>
      </c>
      <c r="AC9" t="s">
        <v>82</v>
      </c>
    </row>
    <row r="10" spans="1:30" ht="38.25" customHeight="1">
      <c r="A10">
        <v>9</v>
      </c>
      <c r="B10" t="s">
        <v>37</v>
      </c>
      <c r="C10" t="s">
        <v>36</v>
      </c>
      <c r="D10" t="s">
        <v>48</v>
      </c>
      <c r="E10" t="s">
        <v>62</v>
      </c>
      <c r="F10" t="s">
        <v>103</v>
      </c>
      <c r="G10" t="s">
        <v>68</v>
      </c>
      <c r="H10">
        <v>222</v>
      </c>
      <c r="I10">
        <v>539.17999999999995</v>
      </c>
      <c r="J10">
        <v>0</v>
      </c>
      <c r="K10">
        <v>498</v>
      </c>
      <c r="L10">
        <v>497.5</v>
      </c>
      <c r="M10">
        <v>497.5</v>
      </c>
      <c r="N10">
        <v>555</v>
      </c>
      <c r="O10" t="s">
        <v>83</v>
      </c>
      <c r="P10" t="s">
        <v>33</v>
      </c>
      <c r="Q10" t="s">
        <v>33</v>
      </c>
      <c r="R10" t="s">
        <v>34</v>
      </c>
      <c r="S10" t="s">
        <v>34</v>
      </c>
      <c r="T10" t="s">
        <v>34</v>
      </c>
      <c r="U10" t="s">
        <v>34</v>
      </c>
      <c r="V10">
        <v>556</v>
      </c>
      <c r="W10">
        <v>600</v>
      </c>
      <c r="X10" t="s">
        <v>34</v>
      </c>
      <c r="Y10" t="s">
        <v>34</v>
      </c>
      <c r="Z10" t="s">
        <v>34</v>
      </c>
      <c r="AA10" t="s">
        <v>34</v>
      </c>
      <c r="AB10" t="s">
        <v>34</v>
      </c>
      <c r="AC10" t="s">
        <v>84</v>
      </c>
    </row>
    <row r="11" spans="1:30" ht="38.25" customHeight="1">
      <c r="A11">
        <v>10</v>
      </c>
      <c r="B11" t="s">
        <v>37</v>
      </c>
      <c r="C11" t="s">
        <v>36</v>
      </c>
      <c r="D11" t="s">
        <v>49</v>
      </c>
      <c r="E11" t="s">
        <v>63</v>
      </c>
      <c r="F11" t="s">
        <v>104</v>
      </c>
      <c r="G11" t="s">
        <v>68</v>
      </c>
      <c r="H11">
        <v>222</v>
      </c>
      <c r="I11">
        <v>539.17999999999995</v>
      </c>
      <c r="J11">
        <v>0</v>
      </c>
      <c r="K11">
        <v>498</v>
      </c>
      <c r="L11">
        <v>497.5</v>
      </c>
      <c r="M11">
        <v>497.5</v>
      </c>
      <c r="N11">
        <v>555</v>
      </c>
      <c r="O11" t="s">
        <v>85</v>
      </c>
      <c r="P11" t="s">
        <v>33</v>
      </c>
      <c r="Q11" t="s">
        <v>33</v>
      </c>
      <c r="R11" t="s">
        <v>34</v>
      </c>
      <c r="S11" t="s">
        <v>34</v>
      </c>
      <c r="T11" t="s">
        <v>34</v>
      </c>
      <c r="U11" t="s">
        <v>34</v>
      </c>
      <c r="V11">
        <v>556</v>
      </c>
      <c r="W11">
        <v>600</v>
      </c>
      <c r="X11" t="s">
        <v>34</v>
      </c>
      <c r="Y11" t="s">
        <v>34</v>
      </c>
      <c r="Z11" t="s">
        <v>34</v>
      </c>
      <c r="AA11" t="s">
        <v>34</v>
      </c>
      <c r="AB11" t="s">
        <v>34</v>
      </c>
      <c r="AC11" t="s">
        <v>86</v>
      </c>
    </row>
    <row r="12" spans="1:30" ht="38.25" customHeight="1">
      <c r="A12">
        <v>11</v>
      </c>
      <c r="B12" t="s">
        <v>37</v>
      </c>
      <c r="C12" t="s">
        <v>38</v>
      </c>
      <c r="D12" t="s">
        <v>50</v>
      </c>
      <c r="E12" t="s">
        <v>64</v>
      </c>
      <c r="F12" t="s">
        <v>105</v>
      </c>
      <c r="G12" t="s">
        <v>68</v>
      </c>
      <c r="H12">
        <v>222</v>
      </c>
      <c r="I12">
        <v>539.17999999999995</v>
      </c>
      <c r="J12">
        <v>0</v>
      </c>
      <c r="K12">
        <v>498</v>
      </c>
      <c r="L12">
        <v>497.5</v>
      </c>
      <c r="M12">
        <v>497.5</v>
      </c>
      <c r="N12">
        <v>555</v>
      </c>
      <c r="O12" t="s">
        <v>87</v>
      </c>
      <c r="P12" t="s">
        <v>33</v>
      </c>
      <c r="Q12" t="s">
        <v>33</v>
      </c>
      <c r="R12" t="s">
        <v>34</v>
      </c>
      <c r="S12" t="s">
        <v>34</v>
      </c>
      <c r="T12" t="s">
        <v>34</v>
      </c>
      <c r="U12" t="s">
        <v>34</v>
      </c>
      <c r="V12">
        <v>556</v>
      </c>
      <c r="W12">
        <v>600</v>
      </c>
      <c r="X12" t="s">
        <v>34</v>
      </c>
      <c r="Y12" t="s">
        <v>34</v>
      </c>
      <c r="Z12" t="s">
        <v>34</v>
      </c>
      <c r="AA12" t="s">
        <v>34</v>
      </c>
      <c r="AB12" t="s">
        <v>34</v>
      </c>
      <c r="AC12" t="s">
        <v>88</v>
      </c>
    </row>
    <row r="13" spans="1:30" ht="38.25" customHeight="1">
      <c r="A13">
        <v>12</v>
      </c>
      <c r="B13" t="s">
        <v>37</v>
      </c>
      <c r="C13" t="s">
        <v>38</v>
      </c>
      <c r="D13" t="s">
        <v>51</v>
      </c>
      <c r="E13" t="s">
        <v>65</v>
      </c>
      <c r="F13" t="s">
        <v>106</v>
      </c>
      <c r="G13" t="s">
        <v>68</v>
      </c>
      <c r="H13">
        <v>222</v>
      </c>
      <c r="I13">
        <v>539.17999999999995</v>
      </c>
      <c r="J13">
        <v>0</v>
      </c>
      <c r="K13">
        <v>498</v>
      </c>
      <c r="L13">
        <v>497.5</v>
      </c>
      <c r="M13">
        <v>497.5</v>
      </c>
      <c r="N13">
        <v>555</v>
      </c>
      <c r="O13" t="s">
        <v>89</v>
      </c>
      <c r="P13" t="s">
        <v>33</v>
      </c>
      <c r="Q13" t="s">
        <v>33</v>
      </c>
      <c r="R13" t="s">
        <v>34</v>
      </c>
      <c r="S13" t="s">
        <v>34</v>
      </c>
      <c r="T13" t="s">
        <v>34</v>
      </c>
      <c r="U13" t="s">
        <v>34</v>
      </c>
      <c r="V13">
        <v>556</v>
      </c>
      <c r="W13">
        <v>600</v>
      </c>
      <c r="X13" t="s">
        <v>34</v>
      </c>
      <c r="Y13" t="s">
        <v>34</v>
      </c>
      <c r="Z13" t="s">
        <v>34</v>
      </c>
      <c r="AA13" t="s">
        <v>34</v>
      </c>
      <c r="AB13" t="s">
        <v>34</v>
      </c>
      <c r="AC13" t="s">
        <v>90</v>
      </c>
    </row>
    <row r="14" spans="1:30" ht="38.25" customHeight="1">
      <c r="A14">
        <v>13</v>
      </c>
      <c r="B14" t="s">
        <v>37</v>
      </c>
      <c r="C14" t="s">
        <v>38</v>
      </c>
      <c r="D14" t="s">
        <v>52</v>
      </c>
      <c r="E14" t="s">
        <v>66</v>
      </c>
      <c r="F14" t="s">
        <v>107</v>
      </c>
      <c r="G14" t="s">
        <v>68</v>
      </c>
      <c r="H14">
        <v>222</v>
      </c>
      <c r="I14">
        <v>539.17999999999995</v>
      </c>
      <c r="J14">
        <v>0</v>
      </c>
      <c r="K14">
        <v>498</v>
      </c>
      <c r="L14">
        <v>497.5</v>
      </c>
      <c r="M14">
        <v>497.5</v>
      </c>
      <c r="N14">
        <v>555</v>
      </c>
      <c r="O14" t="s">
        <v>91</v>
      </c>
      <c r="P14" t="s">
        <v>33</v>
      </c>
      <c r="Q14" t="s">
        <v>33</v>
      </c>
      <c r="R14" t="s">
        <v>34</v>
      </c>
      <c r="S14" t="s">
        <v>34</v>
      </c>
      <c r="T14" t="s">
        <v>34</v>
      </c>
      <c r="U14" t="s">
        <v>34</v>
      </c>
      <c r="V14">
        <v>556</v>
      </c>
      <c r="W14">
        <v>600</v>
      </c>
      <c r="X14" t="s">
        <v>34</v>
      </c>
      <c r="Y14" t="s">
        <v>34</v>
      </c>
      <c r="Z14" t="s">
        <v>34</v>
      </c>
      <c r="AA14" t="s">
        <v>34</v>
      </c>
      <c r="AB14" t="s">
        <v>34</v>
      </c>
      <c r="AC14" t="s">
        <v>92</v>
      </c>
    </row>
    <row r="15" spans="1:30" ht="38.25" customHeight="1">
      <c r="A15">
        <v>14</v>
      </c>
      <c r="B15" t="s">
        <v>37</v>
      </c>
      <c r="C15" t="s">
        <v>38</v>
      </c>
      <c r="D15" t="s">
        <v>53</v>
      </c>
      <c r="E15" t="s">
        <v>67</v>
      </c>
      <c r="F15" t="s">
        <v>108</v>
      </c>
      <c r="G15" t="s">
        <v>68</v>
      </c>
      <c r="H15">
        <v>222</v>
      </c>
      <c r="I15">
        <v>539.17999999999995</v>
      </c>
      <c r="J15">
        <v>0</v>
      </c>
      <c r="K15">
        <v>498</v>
      </c>
      <c r="L15">
        <v>497.5</v>
      </c>
      <c r="M15">
        <v>497.5</v>
      </c>
      <c r="N15">
        <v>555</v>
      </c>
      <c r="O15" t="s">
        <v>93</v>
      </c>
      <c r="P15" t="s">
        <v>33</v>
      </c>
      <c r="Q15" t="s">
        <v>33</v>
      </c>
      <c r="R15" t="s">
        <v>34</v>
      </c>
      <c r="S15" t="s">
        <v>34</v>
      </c>
      <c r="T15" t="s">
        <v>34</v>
      </c>
      <c r="U15" t="s">
        <v>34</v>
      </c>
      <c r="V15">
        <v>556</v>
      </c>
      <c r="W15">
        <v>600</v>
      </c>
      <c r="X15" t="s">
        <v>34</v>
      </c>
      <c r="Y15" t="s">
        <v>34</v>
      </c>
      <c r="Z15" t="s">
        <v>34</v>
      </c>
      <c r="AA15" t="s">
        <v>34</v>
      </c>
      <c r="AB15" t="s">
        <v>34</v>
      </c>
      <c r="AC15" t="s">
        <v>94</v>
      </c>
    </row>
    <row r="16" spans="1:30" ht="38.25" customHeight="1">
      <c r="A16">
        <v>15</v>
      </c>
      <c r="B16" t="s">
        <v>39</v>
      </c>
      <c r="H16">
        <f>SUM(H2:H15)</f>
        <v>3108</v>
      </c>
      <c r="I16">
        <f t="shared" ref="I16:W16" si="0">SUM(I2:I15)</f>
        <v>7548.5200000000013</v>
      </c>
      <c r="J16">
        <f t="shared" si="0"/>
        <v>0</v>
      </c>
      <c r="K16">
        <f t="shared" si="0"/>
        <v>6972</v>
      </c>
      <c r="L16">
        <f t="shared" si="0"/>
        <v>6965</v>
      </c>
      <c r="M16">
        <f t="shared" si="0"/>
        <v>6965</v>
      </c>
      <c r="N16">
        <f t="shared" si="0"/>
        <v>7770</v>
      </c>
      <c r="O16">
        <f t="shared" si="0"/>
        <v>0</v>
      </c>
      <c r="P16">
        <f t="shared" si="0"/>
        <v>0</v>
      </c>
      <c r="Q16">
        <f t="shared" si="0"/>
        <v>0</v>
      </c>
      <c r="R16">
        <f t="shared" si="0"/>
        <v>0</v>
      </c>
      <c r="S16">
        <f t="shared" si="0"/>
        <v>0</v>
      </c>
      <c r="T16">
        <f t="shared" si="0"/>
        <v>0</v>
      </c>
      <c r="U16">
        <f t="shared" si="0"/>
        <v>0</v>
      </c>
      <c r="V16">
        <f t="shared" si="0"/>
        <v>7784</v>
      </c>
      <c r="W16">
        <f t="shared" si="0"/>
        <v>8400</v>
      </c>
    </row>
    <row r="17" ht="38.25" customHeight="1"/>
  </sheetData>
  <phoneticPr fontId="2" type="noConversion"/>
  <conditionalFormatting sqref="AB1:AB1048576">
    <cfRule type="containsBlanks" dxfId="3" priority="1">
      <formula>LEN(TRIM(AB1))=0</formula>
    </cfRule>
    <cfRule type="notContainsBlanks" dxfId="2" priority="2">
      <formula>LEN(TRIM(AB1))&gt;0</formula>
    </cfRule>
  </conditionalFormatting>
  <conditionalFormatting sqref="W1:W15 W17:W1048576">
    <cfRule type="containsBlanks" dxfId="1" priority="3">
      <formula>LEN(TRIM(W1))=0</formula>
    </cfRule>
    <cfRule type="notContainsBlanks" dxfId="0" priority="4">
      <formula>LEN(TRIM(W1))&gt;0</formula>
    </cfRule>
  </conditionalFormatting>
  <dataValidations count="2">
    <dataValidation type="list" sqref="B2:B16" xr:uid="{00000000-0002-0000-0000-000000000000}">
      <formula1>"Capex,Opex,合计"</formula1>
    </dataValidation>
    <dataValidation type="list" sqref="C2:C16" xr:uid="{00000000-0002-0000-0000-000001000000}">
      <formula1>"结转,计划内,计划外新增,合计"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研发项目进度表-四季度双周报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2026-04-02T02:54:05Z</dcterms:modified>
</cp:coreProperties>
</file>