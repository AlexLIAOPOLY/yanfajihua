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/>
  </bookViews>
  <sheets>
    <sheet name="项目维度研发经费投入表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<sst xmlns="http://schemas.openxmlformats.org/spreadsheetml/2006/main" count="52" uniqueCount="36">
  <si>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研发项目总表</t>
  </si>
  <si>
    <t>2025年10月31日</t>
  </si>
  <si>
    <t>BS</t>
  </si>
  <si>
    <t>P&amp;L</t>
  </si>
  <si>
    <t>项目编码</t>
  </si>
  <si>
    <t>项目名称</t>
  </si>
  <si>
    <t>立项年份</t>
  </si>
  <si>
    <t>类别</t>
  </si>
  <si>
    <t>委外/委内</t>
  </si>
  <si>
    <t>人工成本</t>
  </si>
  <si>
    <t>其他</t>
  </si>
  <si>
    <t>总金额</t>
  </si>
  <si>
    <t>港币</t>
  </si>
  <si>
    <t>人民币</t>
  </si>
  <si>
    <t>R2410004</t>
  </si>
  <si>
    <t>Opex</t>
  </si>
  <si>
    <t>R2420003</t>
  </si>
  <si>
    <t>2024年能力运营中心升级开发项目</t>
  </si>
  <si>
    <t>Capex</t>
  </si>
  <si>
    <t>R2420004</t>
  </si>
  <si>
    <t>R2420007</t>
  </si>
  <si>
    <t xml:space="preserve">R2510001 </t>
  </si>
  <si>
    <t>2025年大数据及人工智能应用合作研发</t>
  </si>
  <si>
    <t>R2510002</t>
  </si>
  <si>
    <t>其中: 无线中心</t>
  </si>
  <si>
    <t>其中: MyLink中心</t>
  </si>
  <si>
    <t>R2510003</t>
  </si>
  <si>
    <t>R2510004</t>
  </si>
  <si>
    <t>R2510005</t>
  </si>
  <si>
    <t>R2510006</t>
  </si>
  <si>
    <t>R2510007</t>
  </si>
  <si>
    <t>R2510008</t>
  </si>
  <si>
    <t>R2510009</t>
  </si>
  <si>
    <t>基于多模态数据和检索增强的安全领域算法研究项目</t>
  </si>
  <si>
    <t>R2520001</t>
  </si>
  <si>
    <t>2025年网络运维智能化应用研发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</si>
</sst>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  <numFmt numFmtId="177" formatCode="_(* #,##0.0000_);_(* \(#,##0.0000\);_(* &quot;-&quot;??_);_(@_)"/>
  </numFmts>
  <fonts count="26">
    <font>
      <sz val="11"/>
      <color theme="1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name val="Calibri"/>
      <charset val="134"/>
      <scheme val="minor"/>
    </font>
    <font>
      <sz val="16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/>
  </cellStyleXfs>
  <cellXfs count="25">
    <xf numFmtId="0" fontId="0" fillId="0" borderId="0" xfId="0"/>
    <xf numFmtId="0" fontId="1" fillId="0" borderId="0" xfId="49" applyFont="1" applyFill="1" applyAlignment="1">
      <alignment vertical="center"/>
    </xf>
    <xf numFmtId="0" fontId="2" fillId="0" borderId="0" xfId="49" applyFont="1" applyFill="1" applyAlignment="1">
      <alignment vertical="center"/>
    </xf>
    <xf numFmtId="0" fontId="1" fillId="2" borderId="0" xfId="49" applyFont="1" applyFill="1" applyAlignment="1">
      <alignment vertical="center"/>
    </xf>
    <xf numFmtId="0" fontId="3" fillId="2" borderId="0" xfId="49" applyFont="1" applyFill="1" applyAlignment="1">
      <alignment vertical="center"/>
    </xf>
    <xf numFmtId="0" fontId="1" fillId="3" borderId="0" xfId="49" applyFont="1" applyFill="1" applyAlignment="1">
      <alignment vertical="center"/>
    </xf>
    <xf numFmtId="43" fontId="4" fillId="2" borderId="0" xfId="50" applyFont="1" applyFill="1">
      <alignment vertical="center"/>
    </xf>
    <xf numFmtId="43" fontId="2" fillId="2" borderId="0" xfId="50" applyFont="1" applyFill="1">
      <alignment vertical="center"/>
    </xf>
    <xf numFmtId="0" fontId="2" fillId="3" borderId="0" xfId="49" applyFont="1" applyFill="1" applyAlignment="1">
      <alignment vertical="center"/>
    </xf>
    <xf numFmtId="0" fontId="2" fillId="2" borderId="0" xfId="49" applyFont="1" applyFill="1" applyAlignment="1">
      <alignment vertical="center"/>
    </xf>
    <xf numFmtId="43" fontId="2" fillId="2" borderId="0" xfId="51" applyFont="1" applyFill="1">
      <alignment vertical="center"/>
    </xf>
    <xf numFmtId="0" fontId="5" fillId="2" borderId="0" xfId="52" applyFont="1" applyFill="1" applyAlignment="1">
      <alignment vertical="center"/>
    </xf>
    <xf numFmtId="43" fontId="5" fillId="2" borderId="0" xfId="51" applyFont="1" applyFill="1" applyAlignment="1"/>
    <xf numFmtId="43" fontId="4" fillId="2" borderId="0" xfId="51" applyFont="1" applyFill="1">
      <alignment vertical="center"/>
    </xf>
    <xf numFmtId="177" fontId="1" fillId="0" borderId="0" xfId="49" applyNumberFormat="1" applyFont="1" applyFill="1" applyAlignment="1">
      <alignment vertical="center"/>
    </xf>
    <xf numFmtId="43" fontId="1" fillId="2" borderId="0" xfId="49" applyNumberFormat="1" applyFont="1" applyFill="1" applyAlignment="1">
      <alignment vertical="center"/>
    </xf>
    <xf numFmtId="43" fontId="1" fillId="3" borderId="0" xfId="49" applyNumberFormat="1" applyFont="1" applyFill="1" applyAlignment="1">
      <alignment vertical="center"/>
    </xf>
    <xf numFmtId="43" fontId="2" fillId="2" borderId="0" xfId="49" applyNumberFormat="1" applyFont="1" applyFill="1" applyAlignment="1">
      <alignment vertical="center"/>
    </xf>
    <xf numFmtId="43" fontId="2" fillId="3" borderId="0" xfId="49" applyNumberFormat="1" applyFont="1" applyFill="1" applyAlignment="1">
      <alignment vertical="center"/>
    </xf>
    <xf numFmtId="43" fontId="2" fillId="0" borderId="0" xfId="49" applyNumberFormat="1" applyFont="1" applyFill="1" applyAlignment="1">
      <alignment vertical="center"/>
    </xf>
    <xf numFmtId="43" fontId="6" fillId="2" borderId="0" xfId="52" applyNumberFormat="1" applyFont="1" applyFill="1" applyAlignment="1">
      <alignment vertical="center"/>
    </xf>
    <xf numFmtId="43" fontId="1" fillId="0" borderId="0" xfId="49" applyNumberFormat="1" applyFont="1" applyFill="1" applyAlignment="1">
      <alignment vertical="center"/>
    </xf>
    <xf numFmtId="43" fontId="1" fillId="4" borderId="0" xfId="49" applyNumberFormat="1" applyFont="1" applyFill="1" applyAlignment="1">
      <alignment vertical="center"/>
    </xf>
    <xf numFmtId="43" fontId="1" fillId="2" borderId="0" xfId="51" applyFont="1" applyFill="1" applyAlignment="1">
      <alignment vertical="center"/>
    </xf>
    <xf numFmtId="10" fontId="2" fillId="0" borderId="0" xfId="3" applyNumberFormat="1" applyFont="1" applyFill="1" applyAlignment="1">
      <alignment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一般 3" xfId="49"/>
    <cellStyle name="千分位 2" xfId="50"/>
    <cellStyle name="千分位 3" xfId="51"/>
    <cellStyle name="一般 2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P7409\Desktop\&#30740;&#21457;&#39033;&#30446;\2025&#24180;&#30740;&#21457;&#38917;&#30446;&#24773;&#20917;(7&#2637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24180;&#30740;&#21457;&#38917;&#30446;&#24773;&#20917;(10&#26376;31&#26085;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R07 研发经费投入表"/>
      <sheetName val="项目维度研发经费投入表"/>
      <sheetName val="委外費用接收"/>
      <sheetName val="接收"/>
      <sheetName val="接收by項目"/>
      <sheetName val="人工成本"/>
      <sheetName val="人工by項目"/>
      <sheetName val="ERP項目列表"/>
      <sheetName val="Accoun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B1" t="str">
            <v>項目編號</v>
          </cell>
          <cell r="C1" t="str">
            <v>項目名稱</v>
          </cell>
        </row>
        <row r="2">
          <cell r="B2" t="str">
            <v>R2510008</v>
          </cell>
          <cell r="C2" t="str">
            <v>多感知数据融合分析平台与融合通感基站一体化物理设计研究项目</v>
          </cell>
        </row>
        <row r="3">
          <cell r="B3" t="str">
            <v>R2510007</v>
          </cell>
          <cell r="C3" t="str">
            <v>高精度定位网络能力增强研究项目</v>
          </cell>
        </row>
        <row r="4">
          <cell r="B4" t="str">
            <v>R2510006</v>
          </cell>
          <cell r="C4" t="str">
            <v>基于无人设备的海域通信测试研究项目</v>
          </cell>
        </row>
        <row r="5">
          <cell r="B5" t="str">
            <v>R2510005</v>
          </cell>
          <cell r="C5" t="str">
            <v>2026-2030年网络发展规划研究</v>
          </cell>
        </row>
        <row r="6">
          <cell r="B6" t="str">
            <v>R2510004</v>
          </cell>
          <cell r="C6" t="str">
            <v>2025年安防和信创研发</v>
          </cell>
        </row>
        <row r="7">
          <cell r="B7" t="str">
            <v>R2510003</v>
          </cell>
          <cell r="C7" t="str">
            <v>2025年算力资源研究</v>
          </cell>
        </row>
        <row r="8">
          <cell r="B8" t="str">
            <v>R2510002</v>
          </cell>
          <cell r="C8" t="str">
            <v>2025年人工智能赋能网络能力研发</v>
          </cell>
        </row>
        <row r="9">
          <cell r="B9" t="str">
            <v>R2510001</v>
          </cell>
          <cell r="C9" t="str">
            <v>2025年大数据及人工智能应用合作研发</v>
          </cell>
        </row>
        <row r="10">
          <cell r="B10" t="str">
            <v>R2420003</v>
          </cell>
          <cell r="C10" t="str">
            <v>2024年能力运营中心升级开发项目</v>
          </cell>
        </row>
        <row r="11">
          <cell r="B11" t="str">
            <v>R2420004</v>
          </cell>
          <cell r="C11" t="str">
            <v>2024年BOSS系统开发项目</v>
          </cell>
        </row>
        <row r="12">
          <cell r="B12" t="str">
            <v>R2420007</v>
          </cell>
          <cell r="C12" t="str">
            <v>2024年数智工程一体化平台研发项目</v>
          </cell>
        </row>
        <row r="13">
          <cell r="B13" t="str">
            <v>R2520002</v>
          </cell>
          <cell r="C13" t="str">
            <v>2025年数字员工研发</v>
          </cell>
        </row>
        <row r="14">
          <cell r="B14" t="str">
            <v>R2520001</v>
          </cell>
          <cell r="C14" t="str">
            <v>2025年网络运维智能化应用研发</v>
          </cell>
        </row>
        <row r="15">
          <cell r="B15" t="str">
            <v>R2420007</v>
          </cell>
          <cell r="C15" t="str">
            <v>2024年数智工程一体化平台研发项目</v>
          </cell>
        </row>
        <row r="16">
          <cell r="B16" t="str">
            <v>R2410004</v>
          </cell>
          <cell r="C16" t="str">
            <v>2024年大数据智能化应用研发项目</v>
          </cell>
        </row>
        <row r="17">
          <cell r="B17" t="str">
            <v>R2410003</v>
          </cell>
          <cell r="C17" t="str">
            <v>5G SA双域专网国际漫游方案研究</v>
          </cell>
        </row>
        <row r="18">
          <cell r="B18" t="str">
            <v>R2410002</v>
          </cell>
          <cell r="C18" t="str">
            <v>1.8G/2.6G/3.5G/4.9G新型室内共模有源天线多载波聚合技术验证</v>
          </cell>
        </row>
        <row r="19">
          <cell r="B19" t="str">
            <v>R2410001</v>
          </cell>
          <cell r="C19" t="str">
            <v>基于NSA模式的UPF下沉型5G专网应用方案研究</v>
          </cell>
        </row>
        <row r="20">
          <cell r="B20" t="str">
            <v>R2420006</v>
          </cell>
          <cell r="C20" t="str">
            <v>2024年网络运维智能化应用研发项目</v>
          </cell>
        </row>
        <row r="21">
          <cell r="B21" t="str">
            <v>R2430001</v>
          </cell>
          <cell r="C21" t="str">
            <v>2024年网络运维智能化应用研发配套硬件购置项目</v>
          </cell>
        </row>
        <row r="22">
          <cell r="B22" t="str">
            <v>R2420004</v>
          </cell>
          <cell r="C22" t="str">
            <v>2024年BOSS系统开发项目</v>
          </cell>
        </row>
        <row r="23">
          <cell r="B23" t="str">
            <v>R2420003</v>
          </cell>
          <cell r="C23" t="str">
            <v>2024年能力运营中心升级开发项目</v>
          </cell>
        </row>
        <row r="24">
          <cell r="B24" t="str">
            <v>R2420005</v>
          </cell>
          <cell r="C24" t="str">
            <v>2024年MyLink数智服务应用开发项目</v>
          </cell>
        </row>
        <row r="25">
          <cell r="B25" t="str">
            <v>R23200DB</v>
          </cell>
          <cell r="C25" t="str">
            <v>2023年网络运维智能化应用研发项目</v>
          </cell>
        </row>
        <row r="26">
          <cell r="B26" t="str">
            <v>R23200DA</v>
          </cell>
          <cell r="C26" t="str">
            <v>2023年能力运营中心升级开发項目</v>
          </cell>
        </row>
        <row r="27">
          <cell r="B27" t="str">
            <v>R23200DB</v>
          </cell>
          <cell r="C27" t="str">
            <v>2023年网络运维智能化应用研发项目</v>
          </cell>
        </row>
        <row r="28">
          <cell r="B28" t="str">
            <v>R23200DC</v>
          </cell>
          <cell r="C28" t="str">
            <v>2023年网络运维智能化应用研发配套硬件购置项目</v>
          </cell>
        </row>
        <row r="29">
          <cell r="B29" t="str">
            <v>R23200DA</v>
          </cell>
          <cell r="C29" t="str">
            <v>2023年能力运营中心升级开发項目</v>
          </cell>
        </row>
        <row r="30">
          <cell r="B30" t="str">
            <v>R23100DC</v>
          </cell>
          <cell r="C30" t="str">
            <v>基于5G宽带集群的应急通信保障应用研究</v>
          </cell>
        </row>
        <row r="31">
          <cell r="B31" t="str">
            <v>R23100DA</v>
          </cell>
          <cell r="C31" t="str">
            <v>跨区域5G双域专网应用研究</v>
          </cell>
        </row>
        <row r="32">
          <cell r="B32" t="str">
            <v>R23100DB</v>
          </cell>
          <cell r="C32" t="str">
            <v>5G LAN专网技术研究及测试验证</v>
          </cell>
        </row>
      </sheetData>
      <sheetData sheetId="8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项目维度研发经费投入表"/>
      <sheetName val="Sheet6"/>
      <sheetName val="接收"/>
      <sheetName val="委外费用接收"/>
      <sheetName val="人工by项目"/>
      <sheetName val="人工成本"/>
      <sheetName val="RMB汇率"/>
    </sheetNames>
    <sheetDataSet>
      <sheetData sheetId="0"/>
      <sheetData sheetId="1">
        <row r="4">
          <cell r="C4">
            <v>333000</v>
          </cell>
        </row>
        <row r="5">
          <cell r="C5">
            <v>4974864.96</v>
          </cell>
        </row>
        <row r="6">
          <cell r="C6">
            <v>1476346.368</v>
          </cell>
        </row>
        <row r="7">
          <cell r="C7">
            <v>2045905</v>
          </cell>
        </row>
        <row r="8">
          <cell r="C8">
            <v>1254575.0016</v>
          </cell>
        </row>
        <row r="9">
          <cell r="C9">
            <v>5183208.6622</v>
          </cell>
        </row>
      </sheetData>
      <sheetData sheetId="2">
        <row r="2">
          <cell r="X2">
            <v>99900</v>
          </cell>
        </row>
        <row r="3">
          <cell r="X3">
            <v>698400</v>
          </cell>
        </row>
        <row r="4">
          <cell r="X4">
            <v>597420</v>
          </cell>
        </row>
        <row r="5">
          <cell r="X5">
            <v>984230.912</v>
          </cell>
        </row>
        <row r="6">
          <cell r="X6">
            <v>372335.4</v>
          </cell>
        </row>
        <row r="7">
          <cell r="X7">
            <v>348384</v>
          </cell>
        </row>
        <row r="8">
          <cell r="X8">
            <v>65322</v>
          </cell>
        </row>
        <row r="9">
          <cell r="X9">
            <v>239078.52</v>
          </cell>
        </row>
        <row r="10">
          <cell r="X10">
            <v>172014.6</v>
          </cell>
        </row>
        <row r="11">
          <cell r="X11">
            <v>-698400</v>
          </cell>
        </row>
        <row r="12">
          <cell r="X12">
            <v>1117006.2</v>
          </cell>
        </row>
        <row r="13">
          <cell r="X13">
            <v>1045152</v>
          </cell>
        </row>
        <row r="14">
          <cell r="X14">
            <v>195966</v>
          </cell>
        </row>
        <row r="15">
          <cell r="X15">
            <v>478157.04</v>
          </cell>
        </row>
        <row r="16">
          <cell r="X16">
            <v>344029.2</v>
          </cell>
        </row>
        <row r="17">
          <cell r="X17">
            <v>696505.6512</v>
          </cell>
        </row>
        <row r="18">
          <cell r="X18">
            <v>-331885.35</v>
          </cell>
        </row>
        <row r="19">
          <cell r="X19">
            <v>1751084.0075</v>
          </cell>
        </row>
        <row r="20">
          <cell r="X20">
            <v>492115.456</v>
          </cell>
        </row>
        <row r="21">
          <cell r="X21">
            <v>233100</v>
          </cell>
        </row>
        <row r="22">
          <cell r="X22">
            <v>394920</v>
          </cell>
        </row>
        <row r="23">
          <cell r="X23">
            <v>175520</v>
          </cell>
        </row>
        <row r="24">
          <cell r="X24">
            <v>175520</v>
          </cell>
        </row>
        <row r="25">
          <cell r="X25">
            <v>548500</v>
          </cell>
        </row>
        <row r="26">
          <cell r="X26">
            <v>312645</v>
          </cell>
        </row>
        <row r="27">
          <cell r="X27">
            <v>438800</v>
          </cell>
        </row>
        <row r="28">
          <cell r="X28">
            <v>558069.3504</v>
          </cell>
        </row>
        <row r="29">
          <cell r="X29">
            <v>331885.35</v>
          </cell>
        </row>
        <row r="30">
          <cell r="X30">
            <v>3432124.6547</v>
          </cell>
        </row>
      </sheetData>
      <sheetData sheetId="3">
        <row r="2">
          <cell r="AC2">
            <v>-348</v>
          </cell>
        </row>
        <row r="3">
          <cell r="AC3">
            <v>-87</v>
          </cell>
        </row>
        <row r="4">
          <cell r="AC4">
            <v>-5868</v>
          </cell>
        </row>
        <row r="5">
          <cell r="AC5">
            <v>-2934</v>
          </cell>
        </row>
        <row r="6">
          <cell r="AC6">
            <v>-1467</v>
          </cell>
        </row>
        <row r="7">
          <cell r="AC7">
            <v>-872</v>
          </cell>
        </row>
        <row r="8">
          <cell r="AC8">
            <v>-1308</v>
          </cell>
        </row>
        <row r="9">
          <cell r="AC9">
            <v>-981</v>
          </cell>
        </row>
        <row r="10">
          <cell r="AC10">
            <v>-981</v>
          </cell>
        </row>
        <row r="11">
          <cell r="AC11">
            <v>-981</v>
          </cell>
        </row>
        <row r="12">
          <cell r="AC12">
            <v>-580</v>
          </cell>
        </row>
        <row r="13">
          <cell r="AC13">
            <v>-348</v>
          </cell>
        </row>
        <row r="14">
          <cell r="AC14">
            <v>-87</v>
          </cell>
        </row>
        <row r="15">
          <cell r="AC15">
            <v>-680</v>
          </cell>
        </row>
        <row r="16">
          <cell r="AC16">
            <v>100000</v>
          </cell>
        </row>
        <row r="17">
          <cell r="AC17">
            <v>424120</v>
          </cell>
        </row>
        <row r="18">
          <cell r="AC18">
            <v>743820</v>
          </cell>
        </row>
        <row r="19">
          <cell r="AC19">
            <v>743820</v>
          </cell>
        </row>
        <row r="20">
          <cell r="AC20">
            <v>424120</v>
          </cell>
        </row>
        <row r="21">
          <cell r="AC21">
            <v>-100000</v>
          </cell>
        </row>
        <row r="22">
          <cell r="AC22">
            <v>100000</v>
          </cell>
        </row>
        <row r="23">
          <cell r="AC23">
            <v>-424120</v>
          </cell>
        </row>
        <row r="24">
          <cell r="AC24">
            <v>-743820</v>
          </cell>
        </row>
      </sheetData>
      <sheetData sheetId="4"/>
      <sheetData sheetId="5">
        <row r="2">
          <cell r="AC2">
            <v>33200</v>
          </cell>
        </row>
        <row r="3">
          <cell r="AC3">
            <v>2640</v>
          </cell>
        </row>
        <row r="4">
          <cell r="AC4">
            <v>1310</v>
          </cell>
        </row>
        <row r="5">
          <cell r="AC5">
            <v>1220</v>
          </cell>
        </row>
        <row r="6">
          <cell r="AC6">
            <v>6330</v>
          </cell>
        </row>
        <row r="7">
          <cell r="AC7">
            <v>3590</v>
          </cell>
        </row>
        <row r="8">
          <cell r="AC8">
            <v>6250</v>
          </cell>
        </row>
        <row r="9">
          <cell r="AC9">
            <v>7290</v>
          </cell>
        </row>
        <row r="10">
          <cell r="AC10">
            <v>3080</v>
          </cell>
        </row>
        <row r="11">
          <cell r="AC11">
            <v>71790</v>
          </cell>
        </row>
        <row r="12">
          <cell r="AC12">
            <v>6810</v>
          </cell>
        </row>
        <row r="13">
          <cell r="AC13">
            <v>5720</v>
          </cell>
        </row>
        <row r="14">
          <cell r="AC14">
            <v>2960</v>
          </cell>
        </row>
        <row r="15">
          <cell r="AC15">
            <v>12750</v>
          </cell>
        </row>
        <row r="16">
          <cell r="AC16">
            <v>25870</v>
          </cell>
        </row>
        <row r="17">
          <cell r="AC17">
            <v>4600</v>
          </cell>
        </row>
        <row r="18">
          <cell r="AC18">
            <v>7360</v>
          </cell>
        </row>
        <row r="19">
          <cell r="AC19">
            <v>33480</v>
          </cell>
        </row>
        <row r="20">
          <cell r="AC20">
            <v>8330</v>
          </cell>
        </row>
        <row r="21">
          <cell r="AC21">
            <v>5792</v>
          </cell>
        </row>
        <row r="22">
          <cell r="AC22">
            <v>5970</v>
          </cell>
        </row>
        <row r="23">
          <cell r="AC23">
            <v>23824</v>
          </cell>
        </row>
        <row r="24">
          <cell r="AC24">
            <v>7740</v>
          </cell>
        </row>
        <row r="25">
          <cell r="AC25">
            <v>1480</v>
          </cell>
        </row>
        <row r="26">
          <cell r="AC26">
            <v>2200</v>
          </cell>
        </row>
        <row r="27">
          <cell r="AC27">
            <v>54967</v>
          </cell>
        </row>
        <row r="28">
          <cell r="AC28">
            <v>101</v>
          </cell>
        </row>
        <row r="29">
          <cell r="AC29">
            <v>340.5</v>
          </cell>
        </row>
        <row r="30">
          <cell r="AC30">
            <v>4</v>
          </cell>
        </row>
        <row r="31">
          <cell r="AC31">
            <v>34</v>
          </cell>
        </row>
        <row r="32">
          <cell r="AC32">
            <v>74</v>
          </cell>
        </row>
        <row r="33">
          <cell r="AC33">
            <v>3</v>
          </cell>
        </row>
        <row r="34">
          <cell r="AC34">
            <v>4</v>
          </cell>
        </row>
        <row r="35">
          <cell r="AC35">
            <v>34</v>
          </cell>
        </row>
        <row r="36">
          <cell r="AC36">
            <v>110</v>
          </cell>
        </row>
        <row r="37">
          <cell r="AC37">
            <v>3</v>
          </cell>
        </row>
        <row r="38">
          <cell r="AC38">
            <v>4</v>
          </cell>
        </row>
        <row r="39">
          <cell r="AC39">
            <v>34</v>
          </cell>
        </row>
        <row r="40">
          <cell r="AC40">
            <v>132</v>
          </cell>
        </row>
        <row r="41">
          <cell r="AC41">
            <v>45</v>
          </cell>
        </row>
        <row r="42">
          <cell r="AC42">
            <v>61</v>
          </cell>
        </row>
        <row r="43">
          <cell r="AC43">
            <v>539</v>
          </cell>
        </row>
        <row r="44">
          <cell r="AC44">
            <v>1660</v>
          </cell>
        </row>
        <row r="45">
          <cell r="AC45">
            <v>65</v>
          </cell>
        </row>
        <row r="46">
          <cell r="AC46">
            <v>87</v>
          </cell>
        </row>
        <row r="47">
          <cell r="AC47">
            <v>768</v>
          </cell>
        </row>
        <row r="48">
          <cell r="AC48">
            <v>2748.35</v>
          </cell>
        </row>
        <row r="49">
          <cell r="AC49">
            <v>3</v>
          </cell>
        </row>
        <row r="50">
          <cell r="AC50">
            <v>4</v>
          </cell>
        </row>
        <row r="51">
          <cell r="AC51">
            <v>34</v>
          </cell>
        </row>
        <row r="52">
          <cell r="AC52">
            <v>65.5</v>
          </cell>
        </row>
        <row r="53">
          <cell r="AC53">
            <v>3</v>
          </cell>
        </row>
        <row r="54">
          <cell r="AC54">
            <v>4</v>
          </cell>
        </row>
        <row r="55">
          <cell r="AC55">
            <v>8</v>
          </cell>
        </row>
        <row r="56">
          <cell r="AC56">
            <v>11</v>
          </cell>
        </row>
        <row r="57">
          <cell r="AC57">
            <v>34</v>
          </cell>
        </row>
        <row r="58">
          <cell r="AC58">
            <v>61</v>
          </cell>
        </row>
        <row r="59">
          <cell r="AC59">
            <v>101</v>
          </cell>
        </row>
        <row r="60">
          <cell r="AC60">
            <v>316.5</v>
          </cell>
        </row>
        <row r="61">
          <cell r="AC61">
            <v>3</v>
          </cell>
        </row>
        <row r="62">
          <cell r="AC62">
            <v>4</v>
          </cell>
        </row>
        <row r="63">
          <cell r="AC63">
            <v>34</v>
          </cell>
        </row>
        <row r="64">
          <cell r="AC64">
            <v>179.5</v>
          </cell>
        </row>
        <row r="65">
          <cell r="AC65">
            <v>6</v>
          </cell>
        </row>
        <row r="66">
          <cell r="AC66">
            <v>8</v>
          </cell>
        </row>
        <row r="67">
          <cell r="AC67">
            <v>8</v>
          </cell>
        </row>
        <row r="68">
          <cell r="AC68">
            <v>11</v>
          </cell>
        </row>
        <row r="69">
          <cell r="AC69">
            <v>68</v>
          </cell>
        </row>
        <row r="70">
          <cell r="AC70">
            <v>101</v>
          </cell>
        </row>
        <row r="71">
          <cell r="AC71">
            <v>312.5</v>
          </cell>
        </row>
        <row r="72">
          <cell r="AC72">
            <v>364.5</v>
          </cell>
        </row>
        <row r="73">
          <cell r="AC73">
            <v>3</v>
          </cell>
        </row>
        <row r="74">
          <cell r="AC74">
            <v>4</v>
          </cell>
        </row>
        <row r="75">
          <cell r="AC75">
            <v>34</v>
          </cell>
        </row>
        <row r="76">
          <cell r="AC76">
            <v>79</v>
          </cell>
        </row>
        <row r="77">
          <cell r="AC77">
            <v>107</v>
          </cell>
        </row>
        <row r="78">
          <cell r="AC78">
            <v>154</v>
          </cell>
        </row>
        <row r="79">
          <cell r="AC79">
            <v>943</v>
          </cell>
        </row>
        <row r="80">
          <cell r="AC80">
            <v>3589.5</v>
          </cell>
        </row>
        <row r="81">
          <cell r="AC81">
            <v>8</v>
          </cell>
        </row>
        <row r="82">
          <cell r="AC82">
            <v>11</v>
          </cell>
        </row>
        <row r="83">
          <cell r="AC83">
            <v>11</v>
          </cell>
        </row>
        <row r="84">
          <cell r="AC84">
            <v>95</v>
          </cell>
        </row>
        <row r="85">
          <cell r="AC85">
            <v>286</v>
          </cell>
        </row>
        <row r="86">
          <cell r="AC86">
            <v>8</v>
          </cell>
        </row>
        <row r="87">
          <cell r="AC87">
            <v>21</v>
          </cell>
        </row>
        <row r="88">
          <cell r="AC88">
            <v>28</v>
          </cell>
        </row>
        <row r="89">
          <cell r="AC89">
            <v>256</v>
          </cell>
        </row>
        <row r="90">
          <cell r="AC90">
            <v>1191.2</v>
          </cell>
        </row>
        <row r="91">
          <cell r="AC91">
            <v>5</v>
          </cell>
        </row>
        <row r="92">
          <cell r="AC92">
            <v>6</v>
          </cell>
        </row>
        <row r="93">
          <cell r="AC93">
            <v>6</v>
          </cell>
        </row>
        <row r="94">
          <cell r="AC94">
            <v>8</v>
          </cell>
        </row>
        <row r="95">
          <cell r="AC95">
            <v>54</v>
          </cell>
        </row>
        <row r="96">
          <cell r="AC96">
            <v>68</v>
          </cell>
        </row>
        <row r="97">
          <cell r="AC97">
            <v>289.6</v>
          </cell>
        </row>
        <row r="98">
          <cell r="AC98">
            <v>298.5</v>
          </cell>
        </row>
        <row r="99">
          <cell r="AC99">
            <v>3</v>
          </cell>
        </row>
        <row r="100">
          <cell r="AC100">
            <v>4</v>
          </cell>
        </row>
        <row r="101">
          <cell r="AC101">
            <v>5</v>
          </cell>
        </row>
        <row r="102">
          <cell r="AC102">
            <v>6</v>
          </cell>
        </row>
        <row r="103">
          <cell r="AC103">
            <v>34</v>
          </cell>
        </row>
        <row r="104">
          <cell r="AC104">
            <v>39</v>
          </cell>
        </row>
        <row r="105">
          <cell r="AC105">
            <v>53</v>
          </cell>
        </row>
        <row r="106">
          <cell r="AC106">
            <v>54</v>
          </cell>
        </row>
        <row r="107">
          <cell r="AC107">
            <v>230</v>
          </cell>
        </row>
        <row r="108">
          <cell r="AC108">
            <v>368</v>
          </cell>
        </row>
        <row r="109">
          <cell r="AC109">
            <v>472</v>
          </cell>
        </row>
        <row r="110">
          <cell r="AC110">
            <v>1674</v>
          </cell>
        </row>
        <row r="111">
          <cell r="AC111">
            <v>7</v>
          </cell>
        </row>
        <row r="112">
          <cell r="AC112">
            <v>10</v>
          </cell>
        </row>
        <row r="113">
          <cell r="AC113">
            <v>85</v>
          </cell>
        </row>
        <row r="114">
          <cell r="AC114">
            <v>416.5</v>
          </cell>
        </row>
        <row r="115">
          <cell r="AC115">
            <v>4</v>
          </cell>
        </row>
        <row r="116">
          <cell r="AC116">
            <v>6</v>
          </cell>
        </row>
        <row r="117">
          <cell r="AC117">
            <v>51</v>
          </cell>
        </row>
        <row r="118">
          <cell r="AC118">
            <v>148</v>
          </cell>
        </row>
        <row r="119">
          <cell r="AC119">
            <v>12</v>
          </cell>
        </row>
        <row r="120">
          <cell r="AC120">
            <v>16</v>
          </cell>
        </row>
        <row r="121">
          <cell r="AC121">
            <v>33</v>
          </cell>
        </row>
        <row r="122">
          <cell r="AC122">
            <v>44</v>
          </cell>
        </row>
        <row r="123">
          <cell r="AC123">
            <v>136</v>
          </cell>
        </row>
        <row r="124">
          <cell r="AC124">
            <v>374</v>
          </cell>
        </row>
        <row r="125">
          <cell r="AC125">
            <v>637.5</v>
          </cell>
        </row>
        <row r="126">
          <cell r="AC126">
            <v>1293.5</v>
          </cell>
        </row>
        <row r="127">
          <cell r="AC127">
            <v>6</v>
          </cell>
        </row>
        <row r="128">
          <cell r="AC128">
            <v>8</v>
          </cell>
        </row>
        <row r="129">
          <cell r="AC129">
            <v>68</v>
          </cell>
        </row>
        <row r="130">
          <cell r="AC130">
            <v>387</v>
          </cell>
        </row>
        <row r="131">
          <cell r="AC131">
            <v>3</v>
          </cell>
        </row>
        <row r="132">
          <cell r="AC132">
            <v>-2640</v>
          </cell>
        </row>
        <row r="133">
          <cell r="AC133">
            <v>-5720</v>
          </cell>
        </row>
        <row r="134">
          <cell r="AC134">
            <v>-2960</v>
          </cell>
        </row>
        <row r="135">
          <cell r="AC135">
            <v>-12750</v>
          </cell>
        </row>
        <row r="136">
          <cell r="AC136">
            <v>-25870</v>
          </cell>
        </row>
        <row r="137">
          <cell r="AC137">
            <v>-33480</v>
          </cell>
        </row>
        <row r="138">
          <cell r="AC138">
            <v>-7360</v>
          </cell>
        </row>
        <row r="139">
          <cell r="AC139">
            <v>-4600</v>
          </cell>
        </row>
        <row r="140">
          <cell r="AC140">
            <v>-8330</v>
          </cell>
        </row>
        <row r="141">
          <cell r="AC141">
            <v>-5792</v>
          </cell>
        </row>
        <row r="142">
          <cell r="AC142">
            <v>-5970</v>
          </cell>
        </row>
        <row r="143">
          <cell r="AC143">
            <v>-23824</v>
          </cell>
        </row>
        <row r="144">
          <cell r="AC144">
            <v>-7740</v>
          </cell>
        </row>
        <row r="145">
          <cell r="AC145">
            <v>-1480</v>
          </cell>
        </row>
        <row r="146">
          <cell r="AC146">
            <v>-2200</v>
          </cell>
        </row>
        <row r="147">
          <cell r="AC147">
            <v>-33200</v>
          </cell>
        </row>
        <row r="148">
          <cell r="AC148">
            <v>-54967</v>
          </cell>
        </row>
        <row r="149">
          <cell r="AC149">
            <v>-1310</v>
          </cell>
        </row>
        <row r="150">
          <cell r="AC150">
            <v>-6330</v>
          </cell>
        </row>
        <row r="151">
          <cell r="AC151">
            <v>-1220</v>
          </cell>
        </row>
        <row r="152">
          <cell r="AC152">
            <v>-3590</v>
          </cell>
        </row>
        <row r="153">
          <cell r="AC153">
            <v>-7290</v>
          </cell>
        </row>
        <row r="154">
          <cell r="AC154">
            <v>-6250</v>
          </cell>
        </row>
        <row r="155">
          <cell r="AC155">
            <v>-71790</v>
          </cell>
        </row>
        <row r="156">
          <cell r="AC156">
            <v>-3080</v>
          </cell>
        </row>
        <row r="157">
          <cell r="AC157">
            <v>-6810</v>
          </cell>
        </row>
        <row r="158">
          <cell r="AC158">
            <v>-1660</v>
          </cell>
        </row>
        <row r="159">
          <cell r="AC159">
            <v>-539</v>
          </cell>
        </row>
        <row r="160">
          <cell r="AC160">
            <v>-45</v>
          </cell>
        </row>
        <row r="161">
          <cell r="AC161">
            <v>-61</v>
          </cell>
        </row>
        <row r="162">
          <cell r="AC162">
            <v>-2748.35</v>
          </cell>
        </row>
        <row r="163">
          <cell r="AC163">
            <v>-768</v>
          </cell>
        </row>
        <row r="164">
          <cell r="AC164">
            <v>-65</v>
          </cell>
        </row>
        <row r="165">
          <cell r="AC165">
            <v>-87</v>
          </cell>
        </row>
        <row r="166">
          <cell r="AC166">
            <v>-65.5</v>
          </cell>
        </row>
        <row r="167">
          <cell r="AC167">
            <v>-34</v>
          </cell>
        </row>
        <row r="168">
          <cell r="AC168">
            <v>-3</v>
          </cell>
        </row>
        <row r="169">
          <cell r="AC169">
            <v>-4</v>
          </cell>
        </row>
        <row r="170">
          <cell r="AC170">
            <v>-316.5</v>
          </cell>
        </row>
        <row r="171">
          <cell r="AC171">
            <v>-61</v>
          </cell>
        </row>
        <row r="172">
          <cell r="AC172">
            <v>-4</v>
          </cell>
        </row>
        <row r="173">
          <cell r="AC173">
            <v>-101</v>
          </cell>
        </row>
        <row r="174">
          <cell r="AC174">
            <v>-8</v>
          </cell>
        </row>
        <row r="175">
          <cell r="AC175">
            <v>-11</v>
          </cell>
        </row>
        <row r="176">
          <cell r="AC176">
            <v>-34</v>
          </cell>
        </row>
        <row r="177">
          <cell r="AC177">
            <v>-3</v>
          </cell>
        </row>
        <row r="178">
          <cell r="AC178">
            <v>-179.5</v>
          </cell>
        </row>
        <row r="179">
          <cell r="AC179">
            <v>-4</v>
          </cell>
        </row>
        <row r="180">
          <cell r="AC180">
            <v>-34</v>
          </cell>
        </row>
        <row r="181">
          <cell r="AC181">
            <v>-3</v>
          </cell>
        </row>
        <row r="182">
          <cell r="AC182">
            <v>-364.5</v>
          </cell>
        </row>
        <row r="183">
          <cell r="AC183">
            <v>-312.5</v>
          </cell>
        </row>
        <row r="184">
          <cell r="AC184">
            <v>-8</v>
          </cell>
        </row>
        <row r="185">
          <cell r="AC185">
            <v>-101</v>
          </cell>
        </row>
        <row r="186">
          <cell r="AC186">
            <v>-8</v>
          </cell>
        </row>
        <row r="187">
          <cell r="AC187">
            <v>-11</v>
          </cell>
        </row>
        <row r="188">
          <cell r="AC188">
            <v>-68</v>
          </cell>
        </row>
        <row r="189">
          <cell r="AC189">
            <v>-6</v>
          </cell>
        </row>
        <row r="190">
          <cell r="AC190">
            <v>-154</v>
          </cell>
        </row>
        <row r="191">
          <cell r="AC191">
            <v>-3589.5</v>
          </cell>
        </row>
        <row r="192">
          <cell r="AC192">
            <v>-4</v>
          </cell>
        </row>
        <row r="193">
          <cell r="AC193">
            <v>-943</v>
          </cell>
        </row>
        <row r="194">
          <cell r="AC194">
            <v>-79</v>
          </cell>
        </row>
        <row r="195">
          <cell r="AC195">
            <v>-107</v>
          </cell>
        </row>
        <row r="196">
          <cell r="AC196">
            <v>-34</v>
          </cell>
        </row>
        <row r="197">
          <cell r="AC197">
            <v>-3</v>
          </cell>
        </row>
        <row r="198">
          <cell r="AC198">
            <v>-34</v>
          </cell>
        </row>
        <row r="199">
          <cell r="AC199">
            <v>-340.5</v>
          </cell>
        </row>
        <row r="200">
          <cell r="AC200">
            <v>-101</v>
          </cell>
        </row>
        <row r="201">
          <cell r="AC201">
            <v>-95</v>
          </cell>
        </row>
        <row r="202">
          <cell r="AC202">
            <v>-8</v>
          </cell>
        </row>
        <row r="203">
          <cell r="AC203">
            <v>-11</v>
          </cell>
        </row>
        <row r="204">
          <cell r="AC204">
            <v>-286</v>
          </cell>
        </row>
        <row r="205">
          <cell r="AC205">
            <v>-1191.2</v>
          </cell>
        </row>
        <row r="206">
          <cell r="AC206">
            <v>-256</v>
          </cell>
        </row>
        <row r="207">
          <cell r="AC207">
            <v>-21</v>
          </cell>
        </row>
        <row r="208">
          <cell r="AC208">
            <v>-28</v>
          </cell>
        </row>
        <row r="209">
          <cell r="AC209">
            <v>-54</v>
          </cell>
        </row>
        <row r="210">
          <cell r="AC210">
            <v>-5</v>
          </cell>
        </row>
        <row r="211">
          <cell r="AC211">
            <v>-6</v>
          </cell>
        </row>
        <row r="212">
          <cell r="AC212">
            <v>-289.6</v>
          </cell>
        </row>
        <row r="213">
          <cell r="AC213">
            <v>-298.5</v>
          </cell>
        </row>
        <row r="214">
          <cell r="AC214">
            <v>-8</v>
          </cell>
        </row>
        <row r="215">
          <cell r="AC215">
            <v>-68</v>
          </cell>
        </row>
        <row r="216">
          <cell r="AC216">
            <v>-6</v>
          </cell>
        </row>
        <row r="217">
          <cell r="AC217">
            <v>-1674</v>
          </cell>
        </row>
        <row r="218">
          <cell r="AC218">
            <v>-54</v>
          </cell>
        </row>
        <row r="219">
          <cell r="AC219">
            <v>-5</v>
          </cell>
        </row>
        <row r="220">
          <cell r="AC220">
            <v>-368</v>
          </cell>
        </row>
        <row r="221">
          <cell r="AC221">
            <v>-230</v>
          </cell>
        </row>
        <row r="222">
          <cell r="AC222">
            <v>-4</v>
          </cell>
        </row>
        <row r="223">
          <cell r="AC223">
            <v>-472</v>
          </cell>
        </row>
        <row r="224">
          <cell r="AC224">
            <v>-39</v>
          </cell>
        </row>
        <row r="225">
          <cell r="AC225">
            <v>-53</v>
          </cell>
        </row>
        <row r="226">
          <cell r="AC226">
            <v>-6</v>
          </cell>
        </row>
        <row r="227">
          <cell r="AC227">
            <v>-34</v>
          </cell>
        </row>
        <row r="228">
          <cell r="AC228">
            <v>-3</v>
          </cell>
        </row>
        <row r="229">
          <cell r="AC229">
            <v>-85</v>
          </cell>
        </row>
        <row r="230">
          <cell r="AC230">
            <v>-7</v>
          </cell>
        </row>
        <row r="231">
          <cell r="AC231">
            <v>-416.5</v>
          </cell>
        </row>
        <row r="232">
          <cell r="AC232">
            <v>-10</v>
          </cell>
        </row>
        <row r="233">
          <cell r="AC233">
            <v>-51</v>
          </cell>
        </row>
        <row r="234">
          <cell r="AC234">
            <v>-4</v>
          </cell>
        </row>
        <row r="235">
          <cell r="AC235">
            <v>-6</v>
          </cell>
        </row>
        <row r="236">
          <cell r="AC236">
            <v>-148</v>
          </cell>
        </row>
        <row r="237">
          <cell r="AC237">
            <v>-136</v>
          </cell>
        </row>
        <row r="238">
          <cell r="AC238">
            <v>-12</v>
          </cell>
        </row>
        <row r="239">
          <cell r="AC239">
            <v>-637.5</v>
          </cell>
        </row>
        <row r="240">
          <cell r="AC240">
            <v>-1293.5</v>
          </cell>
        </row>
        <row r="241">
          <cell r="AC241">
            <v>-44</v>
          </cell>
        </row>
        <row r="242">
          <cell r="AC242">
            <v>-16</v>
          </cell>
        </row>
        <row r="243">
          <cell r="AC243">
            <v>-374</v>
          </cell>
        </row>
        <row r="244">
          <cell r="AC244">
            <v>-33</v>
          </cell>
        </row>
        <row r="245">
          <cell r="AC245">
            <v>-387</v>
          </cell>
        </row>
        <row r="246">
          <cell r="AC246">
            <v>-68</v>
          </cell>
        </row>
        <row r="247">
          <cell r="AC247">
            <v>-6</v>
          </cell>
        </row>
        <row r="248">
          <cell r="AC248">
            <v>-8</v>
          </cell>
        </row>
        <row r="249">
          <cell r="AC249">
            <v>-8</v>
          </cell>
        </row>
        <row r="250">
          <cell r="AC250">
            <v>-11</v>
          </cell>
        </row>
        <row r="251">
          <cell r="AC251">
            <v>-3</v>
          </cell>
        </row>
        <row r="252">
          <cell r="AC252">
            <v>-74</v>
          </cell>
        </row>
        <row r="253">
          <cell r="AC253">
            <v>-4</v>
          </cell>
        </row>
        <row r="254">
          <cell r="AC254">
            <v>-34</v>
          </cell>
        </row>
        <row r="255">
          <cell r="AC255">
            <v>-3</v>
          </cell>
        </row>
        <row r="256">
          <cell r="AC256">
            <v>-110</v>
          </cell>
        </row>
        <row r="257">
          <cell r="AC257">
            <v>-4</v>
          </cell>
        </row>
        <row r="258">
          <cell r="AC258">
            <v>-34</v>
          </cell>
        </row>
        <row r="259">
          <cell r="AC259">
            <v>-3</v>
          </cell>
        </row>
        <row r="260">
          <cell r="AC260">
            <v>-132</v>
          </cell>
        </row>
        <row r="261">
          <cell r="AC261">
            <v>-4</v>
          </cell>
        </row>
        <row r="262">
          <cell r="AC262">
            <v>6030</v>
          </cell>
        </row>
        <row r="263">
          <cell r="AC263">
            <v>6480</v>
          </cell>
        </row>
        <row r="264">
          <cell r="AC264">
            <v>6930</v>
          </cell>
        </row>
        <row r="265">
          <cell r="AC265">
            <v>25230</v>
          </cell>
        </row>
        <row r="266">
          <cell r="AC266">
            <v>72610</v>
          </cell>
        </row>
        <row r="267">
          <cell r="AC267">
            <v>33390</v>
          </cell>
        </row>
        <row r="268">
          <cell r="AC268">
            <v>38988</v>
          </cell>
        </row>
        <row r="269">
          <cell r="AC269">
            <v>40303</v>
          </cell>
        </row>
        <row r="270">
          <cell r="AC270">
            <v>4773</v>
          </cell>
        </row>
        <row r="271">
          <cell r="AC271">
            <v>3570</v>
          </cell>
        </row>
        <row r="272">
          <cell r="AC272">
            <v>2312.5</v>
          </cell>
        </row>
        <row r="273">
          <cell r="AC273">
            <v>5642.5</v>
          </cell>
        </row>
        <row r="274">
          <cell r="AC274">
            <v>2146</v>
          </cell>
        </row>
        <row r="275">
          <cell r="AC275">
            <v>4292</v>
          </cell>
        </row>
        <row r="276">
          <cell r="AC276">
            <v>4403</v>
          </cell>
        </row>
        <row r="277">
          <cell r="AC277">
            <v>36294</v>
          </cell>
        </row>
        <row r="278">
          <cell r="AC278">
            <v>862</v>
          </cell>
        </row>
        <row r="279">
          <cell r="AC279">
            <v>20040</v>
          </cell>
        </row>
        <row r="280">
          <cell r="AC280">
            <v>2024</v>
          </cell>
        </row>
        <row r="281">
          <cell r="AC281">
            <v>26430</v>
          </cell>
        </row>
        <row r="282">
          <cell r="AC282">
            <v>1752</v>
          </cell>
        </row>
        <row r="283">
          <cell r="AC283">
            <v>5052</v>
          </cell>
        </row>
        <row r="284">
          <cell r="AC284">
            <v>20126</v>
          </cell>
        </row>
        <row r="285">
          <cell r="AC285">
            <v>2080</v>
          </cell>
        </row>
        <row r="286">
          <cell r="AC286">
            <v>6940</v>
          </cell>
        </row>
        <row r="287">
          <cell r="AC287">
            <v>5175</v>
          </cell>
        </row>
        <row r="288">
          <cell r="AC288">
            <v>13670</v>
          </cell>
        </row>
        <row r="289">
          <cell r="AC289">
            <v>4380</v>
          </cell>
        </row>
        <row r="290">
          <cell r="AC290">
            <v>7140</v>
          </cell>
        </row>
        <row r="291">
          <cell r="AC291">
            <v>705</v>
          </cell>
        </row>
        <row r="292">
          <cell r="AC292">
            <v>1050</v>
          </cell>
        </row>
        <row r="293">
          <cell r="AC293">
            <v>2510</v>
          </cell>
        </row>
        <row r="294">
          <cell r="AC294">
            <v>9</v>
          </cell>
        </row>
        <row r="295">
          <cell r="AC295">
            <v>14</v>
          </cell>
        </row>
        <row r="296">
          <cell r="AC296">
            <v>124</v>
          </cell>
        </row>
        <row r="297">
          <cell r="AC297">
            <v>347</v>
          </cell>
        </row>
        <row r="298">
          <cell r="AC298">
            <v>4</v>
          </cell>
        </row>
        <row r="299">
          <cell r="AC299">
            <v>6</v>
          </cell>
        </row>
        <row r="300">
          <cell r="AC300">
            <v>53</v>
          </cell>
        </row>
        <row r="301">
          <cell r="AC301">
            <v>258.75</v>
          </cell>
        </row>
        <row r="302">
          <cell r="AC302">
            <v>13</v>
          </cell>
        </row>
        <row r="303">
          <cell r="AC303">
            <v>18</v>
          </cell>
        </row>
        <row r="304">
          <cell r="AC304">
            <v>158</v>
          </cell>
        </row>
        <row r="305">
          <cell r="AC305">
            <v>683.5</v>
          </cell>
        </row>
        <row r="306">
          <cell r="AC306">
            <v>3</v>
          </cell>
        </row>
        <row r="307">
          <cell r="AC307">
            <v>4</v>
          </cell>
        </row>
        <row r="308">
          <cell r="AC308">
            <v>35</v>
          </cell>
        </row>
        <row r="309">
          <cell r="AC309">
            <v>219</v>
          </cell>
        </row>
        <row r="310">
          <cell r="AC310">
            <v>5</v>
          </cell>
        </row>
        <row r="311">
          <cell r="AC311">
            <v>8</v>
          </cell>
        </row>
        <row r="312">
          <cell r="AC312">
            <v>71</v>
          </cell>
        </row>
        <row r="313">
          <cell r="AC313">
            <v>357</v>
          </cell>
        </row>
        <row r="314">
          <cell r="AC314">
            <v>1</v>
          </cell>
        </row>
        <row r="315">
          <cell r="AC315">
            <v>2</v>
          </cell>
        </row>
        <row r="316">
          <cell r="AC316">
            <v>18</v>
          </cell>
        </row>
        <row r="317">
          <cell r="AC317">
            <v>35.25</v>
          </cell>
        </row>
        <row r="318">
          <cell r="AC318">
            <v>1</v>
          </cell>
        </row>
        <row r="319">
          <cell r="AC319">
            <v>2</v>
          </cell>
        </row>
        <row r="320">
          <cell r="AC320">
            <v>18</v>
          </cell>
        </row>
        <row r="321">
          <cell r="AC321">
            <v>52.5</v>
          </cell>
        </row>
        <row r="322">
          <cell r="AC322">
            <v>125.5</v>
          </cell>
        </row>
        <row r="323">
          <cell r="AC323">
            <v>3</v>
          </cell>
        </row>
        <row r="324">
          <cell r="AC324">
            <v>4</v>
          </cell>
        </row>
        <row r="325">
          <cell r="AC325">
            <v>35</v>
          </cell>
        </row>
        <row r="326">
          <cell r="AC326">
            <v>1</v>
          </cell>
        </row>
        <row r="327">
          <cell r="AC327">
            <v>1</v>
          </cell>
        </row>
        <row r="328">
          <cell r="AC328">
            <v>7</v>
          </cell>
        </row>
        <row r="329">
          <cell r="AC329">
            <v>43.1</v>
          </cell>
        </row>
        <row r="330">
          <cell r="AC330">
            <v>24</v>
          </cell>
        </row>
        <row r="331">
          <cell r="AC331">
            <v>28</v>
          </cell>
        </row>
        <row r="332">
          <cell r="AC332">
            <v>280</v>
          </cell>
        </row>
        <row r="333">
          <cell r="AC333">
            <v>1002</v>
          </cell>
        </row>
        <row r="334">
          <cell r="AC334">
            <v>2</v>
          </cell>
        </row>
        <row r="335">
          <cell r="AC335">
            <v>2</v>
          </cell>
        </row>
        <row r="336">
          <cell r="AC336">
            <v>28</v>
          </cell>
        </row>
        <row r="337">
          <cell r="AC337">
            <v>101.2</v>
          </cell>
        </row>
        <row r="338">
          <cell r="AC338">
            <v>33</v>
          </cell>
        </row>
        <row r="339">
          <cell r="AC339">
            <v>41</v>
          </cell>
        </row>
        <row r="340">
          <cell r="AC340">
            <v>385</v>
          </cell>
        </row>
        <row r="341">
          <cell r="AC341">
            <v>1321.5</v>
          </cell>
        </row>
        <row r="342">
          <cell r="AC342">
            <v>1</v>
          </cell>
        </row>
        <row r="343">
          <cell r="AC343">
            <v>1</v>
          </cell>
        </row>
        <row r="344">
          <cell r="AC344">
            <v>14</v>
          </cell>
        </row>
        <row r="345">
          <cell r="AC345">
            <v>87.6</v>
          </cell>
        </row>
        <row r="346">
          <cell r="AC346">
            <v>5</v>
          </cell>
        </row>
        <row r="347">
          <cell r="AC347">
            <v>6</v>
          </cell>
        </row>
        <row r="348">
          <cell r="AC348">
            <v>63</v>
          </cell>
        </row>
        <row r="349">
          <cell r="AC349">
            <v>252.6</v>
          </cell>
        </row>
        <row r="350">
          <cell r="AC350">
            <v>23</v>
          </cell>
        </row>
        <row r="351">
          <cell r="AC351">
            <v>29</v>
          </cell>
        </row>
        <row r="352">
          <cell r="AC352">
            <v>280</v>
          </cell>
        </row>
        <row r="353">
          <cell r="AC353">
            <v>1006.3</v>
          </cell>
        </row>
        <row r="354">
          <cell r="AC354">
            <v>2</v>
          </cell>
        </row>
        <row r="355">
          <cell r="AC355">
            <v>4</v>
          </cell>
        </row>
        <row r="356">
          <cell r="AC356">
            <v>36</v>
          </cell>
        </row>
        <row r="357">
          <cell r="AC357">
            <v>104</v>
          </cell>
        </row>
        <row r="358">
          <cell r="AC358">
            <v>93</v>
          </cell>
        </row>
        <row r="359">
          <cell r="AC359">
            <v>114</v>
          </cell>
        </row>
        <row r="360">
          <cell r="AC360">
            <v>1085</v>
          </cell>
        </row>
        <row r="361">
          <cell r="AC361">
            <v>3630.5</v>
          </cell>
        </row>
        <row r="362">
          <cell r="AC362">
            <v>33</v>
          </cell>
        </row>
        <row r="363">
          <cell r="AC363">
            <v>41</v>
          </cell>
        </row>
        <row r="364">
          <cell r="AC364">
            <v>385</v>
          </cell>
        </row>
        <row r="365">
          <cell r="AC365">
            <v>1669.5</v>
          </cell>
        </row>
        <row r="366">
          <cell r="AC366">
            <v>-214.6</v>
          </cell>
        </row>
        <row r="367">
          <cell r="AC367">
            <v>5</v>
          </cell>
        </row>
        <row r="368">
          <cell r="AC368">
            <v>7</v>
          </cell>
        </row>
        <row r="369">
          <cell r="AC369">
            <v>214.6</v>
          </cell>
        </row>
        <row r="370">
          <cell r="AC370">
            <v>5</v>
          </cell>
        </row>
        <row r="371">
          <cell r="AC371">
            <v>7</v>
          </cell>
        </row>
        <row r="372">
          <cell r="AC372">
            <v>220.15</v>
          </cell>
        </row>
        <row r="373">
          <cell r="AC373">
            <v>-220.15</v>
          </cell>
        </row>
        <row r="374">
          <cell r="AC374">
            <v>45</v>
          </cell>
        </row>
        <row r="375">
          <cell r="AC375">
            <v>63</v>
          </cell>
        </row>
        <row r="376">
          <cell r="AC376">
            <v>1814.7</v>
          </cell>
        </row>
        <row r="377">
          <cell r="AC377">
            <v>-1814.7</v>
          </cell>
        </row>
        <row r="378">
          <cell r="AC378">
            <v>9</v>
          </cell>
        </row>
        <row r="379">
          <cell r="AC379">
            <v>11</v>
          </cell>
        </row>
        <row r="380">
          <cell r="AC380">
            <v>105</v>
          </cell>
        </row>
        <row r="381">
          <cell r="AC381">
            <v>301.5</v>
          </cell>
        </row>
        <row r="382">
          <cell r="AC382">
            <v>9</v>
          </cell>
        </row>
        <row r="383">
          <cell r="AC383">
            <v>11</v>
          </cell>
        </row>
        <row r="384">
          <cell r="AC384">
            <v>105</v>
          </cell>
        </row>
        <row r="385">
          <cell r="AC385">
            <v>324</v>
          </cell>
        </row>
        <row r="386">
          <cell r="AC386">
            <v>9</v>
          </cell>
        </row>
        <row r="387">
          <cell r="AC387">
            <v>11</v>
          </cell>
        </row>
        <row r="388">
          <cell r="AC388">
            <v>105</v>
          </cell>
        </row>
        <row r="389">
          <cell r="AC389">
            <v>346.5</v>
          </cell>
        </row>
        <row r="390">
          <cell r="AC390">
            <v>36</v>
          </cell>
        </row>
        <row r="391">
          <cell r="AC391">
            <v>45</v>
          </cell>
        </row>
        <row r="392">
          <cell r="AC392">
            <v>420</v>
          </cell>
        </row>
        <row r="393">
          <cell r="AC393">
            <v>1261.5</v>
          </cell>
        </row>
        <row r="394">
          <cell r="AC394">
            <v>64</v>
          </cell>
        </row>
        <row r="395">
          <cell r="AC395">
            <v>79</v>
          </cell>
        </row>
        <row r="396">
          <cell r="AC396">
            <v>746</v>
          </cell>
        </row>
        <row r="397">
          <cell r="AC397">
            <v>1949.4</v>
          </cell>
        </row>
        <row r="398">
          <cell r="AC398">
            <v>50</v>
          </cell>
        </row>
        <row r="399">
          <cell r="AC399">
            <v>64</v>
          </cell>
        </row>
        <row r="400">
          <cell r="AC400">
            <v>603</v>
          </cell>
        </row>
        <row r="401">
          <cell r="AC401">
            <v>2015.15</v>
          </cell>
        </row>
        <row r="402">
          <cell r="AC402">
            <v>6</v>
          </cell>
        </row>
        <row r="403">
          <cell r="AC403">
            <v>8</v>
          </cell>
        </row>
        <row r="404">
          <cell r="AC404">
            <v>75</v>
          </cell>
        </row>
        <row r="405">
          <cell r="AC405">
            <v>238.65</v>
          </cell>
        </row>
        <row r="406">
          <cell r="AC406">
            <v>9</v>
          </cell>
        </row>
        <row r="407">
          <cell r="AC407">
            <v>11</v>
          </cell>
        </row>
        <row r="408">
          <cell r="AC408">
            <v>105</v>
          </cell>
        </row>
        <row r="409">
          <cell r="AC409">
            <v>178.5</v>
          </cell>
        </row>
        <row r="410">
          <cell r="AC410">
            <v>5</v>
          </cell>
        </row>
        <row r="411">
          <cell r="AC411">
            <v>7</v>
          </cell>
        </row>
        <row r="412">
          <cell r="AC412">
            <v>115.63</v>
          </cell>
        </row>
        <row r="413">
          <cell r="AC413">
            <v>-115.63</v>
          </cell>
        </row>
        <row r="414">
          <cell r="AC414">
            <v>5</v>
          </cell>
        </row>
        <row r="415">
          <cell r="AC415">
            <v>7</v>
          </cell>
        </row>
        <row r="416">
          <cell r="AC416">
            <v>282.13</v>
          </cell>
        </row>
        <row r="417">
          <cell r="AC417">
            <v>-282.13</v>
          </cell>
        </row>
        <row r="418">
          <cell r="AC418">
            <v>5</v>
          </cell>
        </row>
        <row r="419">
          <cell r="AC419">
            <v>7</v>
          </cell>
        </row>
        <row r="420">
          <cell r="AC420">
            <v>107.3</v>
          </cell>
        </row>
        <row r="421">
          <cell r="AC421">
            <v>-107.3</v>
          </cell>
        </row>
        <row r="422">
          <cell r="AC422">
            <v>1310</v>
          </cell>
        </row>
        <row r="423">
          <cell r="AC423">
            <v>54967</v>
          </cell>
        </row>
        <row r="424">
          <cell r="AC424">
            <v>1220</v>
          </cell>
        </row>
        <row r="425">
          <cell r="AC425">
            <v>6250</v>
          </cell>
        </row>
        <row r="426">
          <cell r="AC426">
            <v>25870</v>
          </cell>
        </row>
        <row r="427">
          <cell r="AC427">
            <v>33200</v>
          </cell>
        </row>
        <row r="428">
          <cell r="AC428">
            <v>2960</v>
          </cell>
        </row>
        <row r="429">
          <cell r="AC429">
            <v>5720</v>
          </cell>
        </row>
        <row r="430">
          <cell r="AC430">
            <v>5792</v>
          </cell>
        </row>
        <row r="431">
          <cell r="AC431">
            <v>12750</v>
          </cell>
        </row>
        <row r="432">
          <cell r="AC432">
            <v>7360</v>
          </cell>
        </row>
        <row r="433">
          <cell r="AC433">
            <v>8330</v>
          </cell>
        </row>
        <row r="434">
          <cell r="AC434">
            <v>1480</v>
          </cell>
        </row>
        <row r="435">
          <cell r="AC435">
            <v>2200</v>
          </cell>
        </row>
        <row r="436">
          <cell r="AC436">
            <v>2640</v>
          </cell>
        </row>
        <row r="437">
          <cell r="AC437">
            <v>3590</v>
          </cell>
        </row>
        <row r="438">
          <cell r="AC438">
            <v>5970</v>
          </cell>
        </row>
        <row r="439">
          <cell r="AC439">
            <v>4600</v>
          </cell>
        </row>
        <row r="440">
          <cell r="AC440">
            <v>3080</v>
          </cell>
        </row>
        <row r="441">
          <cell r="AC441">
            <v>6330</v>
          </cell>
        </row>
        <row r="442">
          <cell r="AC442">
            <v>6810</v>
          </cell>
        </row>
        <row r="443">
          <cell r="AC443">
            <v>7290</v>
          </cell>
        </row>
        <row r="444">
          <cell r="AC444">
            <v>33480</v>
          </cell>
        </row>
        <row r="445">
          <cell r="AC445">
            <v>71790</v>
          </cell>
        </row>
        <row r="446">
          <cell r="AC446">
            <v>23824</v>
          </cell>
        </row>
        <row r="447">
          <cell r="AC447">
            <v>7740</v>
          </cell>
        </row>
        <row r="448">
          <cell r="AC448">
            <v>148</v>
          </cell>
        </row>
        <row r="449">
          <cell r="AC449">
            <v>8</v>
          </cell>
        </row>
        <row r="450">
          <cell r="AC450">
            <v>87</v>
          </cell>
        </row>
        <row r="451">
          <cell r="AC451">
            <v>768</v>
          </cell>
        </row>
        <row r="452">
          <cell r="AC452">
            <v>2748.35</v>
          </cell>
        </row>
        <row r="453">
          <cell r="AC453">
            <v>3</v>
          </cell>
        </row>
        <row r="454">
          <cell r="AC454">
            <v>4</v>
          </cell>
        </row>
        <row r="455">
          <cell r="AC455">
            <v>34</v>
          </cell>
        </row>
        <row r="456">
          <cell r="AC456">
            <v>65.5</v>
          </cell>
        </row>
        <row r="457">
          <cell r="AC457">
            <v>6</v>
          </cell>
        </row>
        <row r="458">
          <cell r="AC458">
            <v>8</v>
          </cell>
        </row>
        <row r="459">
          <cell r="AC459">
            <v>68</v>
          </cell>
        </row>
        <row r="460">
          <cell r="AC460">
            <v>387</v>
          </cell>
        </row>
        <row r="461">
          <cell r="AC461">
            <v>3</v>
          </cell>
        </row>
        <row r="462">
          <cell r="AC462">
            <v>4</v>
          </cell>
        </row>
        <row r="463">
          <cell r="AC463">
            <v>34</v>
          </cell>
        </row>
        <row r="464">
          <cell r="AC464">
            <v>61</v>
          </cell>
        </row>
        <row r="465">
          <cell r="AC465">
            <v>11</v>
          </cell>
        </row>
        <row r="466">
          <cell r="AC466">
            <v>95</v>
          </cell>
        </row>
        <row r="467">
          <cell r="AC467">
            <v>286</v>
          </cell>
        </row>
        <row r="468">
          <cell r="AC468">
            <v>5</v>
          </cell>
        </row>
        <row r="469">
          <cell r="AC469">
            <v>6</v>
          </cell>
        </row>
        <row r="470">
          <cell r="AC470">
            <v>54</v>
          </cell>
        </row>
        <row r="471">
          <cell r="AC471">
            <v>289.6</v>
          </cell>
        </row>
        <row r="472">
          <cell r="AC472">
            <v>12</v>
          </cell>
        </row>
        <row r="473">
          <cell r="AC473">
            <v>16</v>
          </cell>
        </row>
        <row r="474">
          <cell r="AC474">
            <v>136</v>
          </cell>
        </row>
        <row r="475">
          <cell r="AC475">
            <v>637.5</v>
          </cell>
        </row>
        <row r="476">
          <cell r="AC476">
            <v>5</v>
          </cell>
        </row>
        <row r="477">
          <cell r="AC477">
            <v>6</v>
          </cell>
        </row>
        <row r="478">
          <cell r="AC478">
            <v>54</v>
          </cell>
        </row>
        <row r="479">
          <cell r="AC479">
            <v>368</v>
          </cell>
        </row>
        <row r="480">
          <cell r="AC480">
            <v>7</v>
          </cell>
        </row>
        <row r="481">
          <cell r="AC481">
            <v>10</v>
          </cell>
        </row>
        <row r="482">
          <cell r="AC482">
            <v>85</v>
          </cell>
        </row>
        <row r="483">
          <cell r="AC483">
            <v>416.5</v>
          </cell>
        </row>
        <row r="484">
          <cell r="AC484">
            <v>3</v>
          </cell>
        </row>
        <row r="485">
          <cell r="AC485">
            <v>4</v>
          </cell>
        </row>
        <row r="486">
          <cell r="AC486">
            <v>34</v>
          </cell>
        </row>
        <row r="487">
          <cell r="AC487">
            <v>74</v>
          </cell>
        </row>
        <row r="488">
          <cell r="AC488">
            <v>3</v>
          </cell>
        </row>
        <row r="489">
          <cell r="AC489">
            <v>4</v>
          </cell>
        </row>
        <row r="490">
          <cell r="AC490">
            <v>34</v>
          </cell>
        </row>
        <row r="491">
          <cell r="AC491">
            <v>110</v>
          </cell>
        </row>
        <row r="492">
          <cell r="AC492">
            <v>132</v>
          </cell>
        </row>
        <row r="493">
          <cell r="AC493">
            <v>3</v>
          </cell>
        </row>
        <row r="494">
          <cell r="AC494">
            <v>4</v>
          </cell>
        </row>
        <row r="495">
          <cell r="AC495">
            <v>34</v>
          </cell>
        </row>
        <row r="496">
          <cell r="AC496">
            <v>4</v>
          </cell>
        </row>
        <row r="497">
          <cell r="AC497">
            <v>6</v>
          </cell>
        </row>
        <row r="498">
          <cell r="AC498">
            <v>51</v>
          </cell>
        </row>
        <row r="499">
          <cell r="AC499">
            <v>79</v>
          </cell>
        </row>
        <row r="500">
          <cell r="AC500">
            <v>107</v>
          </cell>
        </row>
        <row r="501">
          <cell r="AC501">
            <v>943</v>
          </cell>
        </row>
        <row r="502">
          <cell r="AC502">
            <v>3589.5</v>
          </cell>
        </row>
        <row r="503">
          <cell r="AC503">
            <v>21</v>
          </cell>
        </row>
        <row r="504">
          <cell r="AC504">
            <v>28</v>
          </cell>
        </row>
        <row r="505">
          <cell r="AC505">
            <v>256</v>
          </cell>
        </row>
        <row r="506">
          <cell r="AC506">
            <v>1191.2</v>
          </cell>
        </row>
        <row r="507">
          <cell r="AC507">
            <v>3</v>
          </cell>
        </row>
        <row r="508">
          <cell r="AC508">
            <v>4</v>
          </cell>
        </row>
        <row r="509">
          <cell r="AC509">
            <v>34</v>
          </cell>
        </row>
        <row r="510">
          <cell r="AC510">
            <v>179.5</v>
          </cell>
        </row>
        <row r="511">
          <cell r="AC511">
            <v>6</v>
          </cell>
        </row>
        <row r="512">
          <cell r="AC512">
            <v>8</v>
          </cell>
        </row>
        <row r="513">
          <cell r="AC513">
            <v>68</v>
          </cell>
        </row>
        <row r="514">
          <cell r="AC514">
            <v>298.5</v>
          </cell>
        </row>
        <row r="515">
          <cell r="AC515">
            <v>3</v>
          </cell>
        </row>
        <row r="516">
          <cell r="AC516">
            <v>4</v>
          </cell>
        </row>
        <row r="517">
          <cell r="AC517">
            <v>34</v>
          </cell>
        </row>
        <row r="518">
          <cell r="AC518">
            <v>230</v>
          </cell>
        </row>
        <row r="519">
          <cell r="AC519">
            <v>3</v>
          </cell>
        </row>
        <row r="520">
          <cell r="AC520">
            <v>4</v>
          </cell>
        </row>
        <row r="521">
          <cell r="AC521">
            <v>34</v>
          </cell>
        </row>
        <row r="522">
          <cell r="AC522">
            <v>154</v>
          </cell>
        </row>
        <row r="523">
          <cell r="AC523">
            <v>6</v>
          </cell>
        </row>
        <row r="524">
          <cell r="AC524">
            <v>8</v>
          </cell>
        </row>
        <row r="525">
          <cell r="AC525">
            <v>68</v>
          </cell>
        </row>
        <row r="526">
          <cell r="AC526">
            <v>312.5</v>
          </cell>
        </row>
        <row r="527">
          <cell r="AC527">
            <v>33</v>
          </cell>
        </row>
        <row r="528">
          <cell r="AC528">
            <v>44</v>
          </cell>
        </row>
        <row r="529">
          <cell r="AC529">
            <v>374</v>
          </cell>
        </row>
        <row r="530">
          <cell r="AC530">
            <v>1293.5</v>
          </cell>
        </row>
        <row r="531">
          <cell r="AC531">
            <v>8</v>
          </cell>
        </row>
        <row r="532">
          <cell r="AC532">
            <v>11</v>
          </cell>
        </row>
        <row r="533">
          <cell r="AC533">
            <v>101</v>
          </cell>
        </row>
        <row r="534">
          <cell r="AC534">
            <v>316.5</v>
          </cell>
        </row>
        <row r="535">
          <cell r="AC535">
            <v>8</v>
          </cell>
        </row>
        <row r="536">
          <cell r="AC536">
            <v>11</v>
          </cell>
        </row>
        <row r="537">
          <cell r="AC537">
            <v>101</v>
          </cell>
        </row>
        <row r="538">
          <cell r="AC538">
            <v>340.5</v>
          </cell>
        </row>
        <row r="539">
          <cell r="AC539">
            <v>8</v>
          </cell>
        </row>
        <row r="540">
          <cell r="AC540">
            <v>11</v>
          </cell>
        </row>
        <row r="541">
          <cell r="AC541">
            <v>101</v>
          </cell>
        </row>
        <row r="542">
          <cell r="AC542">
            <v>364.5</v>
          </cell>
        </row>
        <row r="543">
          <cell r="AC543">
            <v>39</v>
          </cell>
        </row>
        <row r="544">
          <cell r="AC544">
            <v>53</v>
          </cell>
        </row>
        <row r="545">
          <cell r="AC545">
            <v>472</v>
          </cell>
        </row>
        <row r="546">
          <cell r="AC546">
            <v>1674</v>
          </cell>
        </row>
        <row r="547">
          <cell r="AC547">
            <v>45</v>
          </cell>
        </row>
        <row r="548">
          <cell r="AC548">
            <v>61</v>
          </cell>
        </row>
        <row r="549">
          <cell r="AC549">
            <v>539</v>
          </cell>
        </row>
        <row r="550">
          <cell r="AC550">
            <v>1660</v>
          </cell>
        </row>
        <row r="551">
          <cell r="AC551">
            <v>65</v>
          </cell>
        </row>
        <row r="552">
          <cell r="AC552">
            <v>5</v>
          </cell>
        </row>
        <row r="553">
          <cell r="AC553">
            <v>-63</v>
          </cell>
        </row>
        <row r="554">
          <cell r="AC554">
            <v>65</v>
          </cell>
        </row>
        <row r="555">
          <cell r="AC555">
            <v>115.63</v>
          </cell>
        </row>
        <row r="556">
          <cell r="AC556">
            <v>-5</v>
          </cell>
        </row>
        <row r="557">
          <cell r="AC557">
            <v>-7</v>
          </cell>
        </row>
        <row r="558">
          <cell r="AC558">
            <v>5</v>
          </cell>
        </row>
        <row r="559">
          <cell r="AC559">
            <v>7</v>
          </cell>
        </row>
        <row r="560">
          <cell r="AC560">
            <v>65</v>
          </cell>
        </row>
        <row r="561">
          <cell r="AC561">
            <v>282.13</v>
          </cell>
        </row>
        <row r="562">
          <cell r="AC562">
            <v>-5</v>
          </cell>
        </row>
        <row r="563">
          <cell r="AC563">
            <v>-7</v>
          </cell>
        </row>
        <row r="564">
          <cell r="AC564">
            <v>5</v>
          </cell>
        </row>
        <row r="565">
          <cell r="AC565">
            <v>7</v>
          </cell>
        </row>
        <row r="566">
          <cell r="AC566">
            <v>65</v>
          </cell>
        </row>
        <row r="567">
          <cell r="AC567">
            <v>107.3</v>
          </cell>
        </row>
        <row r="568">
          <cell r="AC568">
            <v>-5</v>
          </cell>
        </row>
        <row r="569">
          <cell r="AC569">
            <v>-7</v>
          </cell>
        </row>
        <row r="570">
          <cell r="AC570">
            <v>5</v>
          </cell>
        </row>
        <row r="571">
          <cell r="AC571">
            <v>7</v>
          </cell>
        </row>
        <row r="572">
          <cell r="AC572">
            <v>65</v>
          </cell>
        </row>
        <row r="573">
          <cell r="AC573">
            <v>214.6</v>
          </cell>
        </row>
        <row r="574">
          <cell r="AC574">
            <v>-5</v>
          </cell>
        </row>
        <row r="575">
          <cell r="AC575">
            <v>-7</v>
          </cell>
        </row>
        <row r="576">
          <cell r="AC576">
            <v>5</v>
          </cell>
        </row>
        <row r="577">
          <cell r="AC577">
            <v>7</v>
          </cell>
        </row>
        <row r="578">
          <cell r="AC578">
            <v>65</v>
          </cell>
        </row>
        <row r="579">
          <cell r="AC579">
            <v>220.15</v>
          </cell>
        </row>
        <row r="580">
          <cell r="AC580">
            <v>-5</v>
          </cell>
        </row>
        <row r="581">
          <cell r="AC581">
            <v>-7</v>
          </cell>
        </row>
        <row r="582">
          <cell r="AC582">
            <v>45</v>
          </cell>
        </row>
        <row r="583">
          <cell r="AC583">
            <v>63</v>
          </cell>
        </row>
        <row r="584">
          <cell r="AC584">
            <v>581</v>
          </cell>
        </row>
        <row r="585">
          <cell r="AC585">
            <v>1814.7</v>
          </cell>
        </row>
        <row r="586">
          <cell r="AC586">
            <v>-45</v>
          </cell>
        </row>
        <row r="587">
          <cell r="AC587">
            <v>7</v>
          </cell>
        </row>
        <row r="588">
          <cell r="AC588">
            <v>4284</v>
          </cell>
        </row>
        <row r="589">
          <cell r="AC589">
            <v>16260</v>
          </cell>
        </row>
        <row r="590">
          <cell r="AC590">
            <v>100560</v>
          </cell>
        </row>
        <row r="591">
          <cell r="AC591">
            <v>31900</v>
          </cell>
        </row>
        <row r="592">
          <cell r="AC592">
            <v>836</v>
          </cell>
        </row>
        <row r="593">
          <cell r="AC593">
            <v>3104</v>
          </cell>
        </row>
        <row r="594">
          <cell r="AC594">
            <v>19212</v>
          </cell>
        </row>
        <row r="595">
          <cell r="AC595">
            <v>1985</v>
          </cell>
        </row>
        <row r="596">
          <cell r="AC596">
            <v>6625</v>
          </cell>
        </row>
        <row r="597">
          <cell r="AC597">
            <v>4935</v>
          </cell>
        </row>
        <row r="598">
          <cell r="AC598">
            <v>13050</v>
          </cell>
        </row>
        <row r="599">
          <cell r="AC599">
            <v>4180</v>
          </cell>
        </row>
        <row r="600">
          <cell r="AC600">
            <v>6815</v>
          </cell>
        </row>
        <row r="601">
          <cell r="AC601">
            <v>675</v>
          </cell>
        </row>
        <row r="602">
          <cell r="AC602">
            <v>1000</v>
          </cell>
        </row>
        <row r="603">
          <cell r="AC603">
            <v>2400</v>
          </cell>
        </row>
        <row r="604">
          <cell r="AC604">
            <v>33104</v>
          </cell>
        </row>
        <row r="605">
          <cell r="AC605">
            <v>58630</v>
          </cell>
        </row>
        <row r="606">
          <cell r="AC606">
            <v>37785</v>
          </cell>
        </row>
        <row r="607">
          <cell r="AC607">
            <v>5763</v>
          </cell>
        </row>
        <row r="608">
          <cell r="AC608">
            <v>2380</v>
          </cell>
        </row>
        <row r="609">
          <cell r="AC609">
            <v>7300</v>
          </cell>
        </row>
        <row r="610">
          <cell r="AC610">
            <v>2775</v>
          </cell>
        </row>
        <row r="611">
          <cell r="AC611">
            <v>59410</v>
          </cell>
        </row>
        <row r="612">
          <cell r="AC612">
            <v>5730</v>
          </cell>
        </row>
        <row r="613">
          <cell r="AC613">
            <v>6180</v>
          </cell>
        </row>
        <row r="614">
          <cell r="AC614">
            <v>6630</v>
          </cell>
        </row>
        <row r="615">
          <cell r="AC615">
            <v>24060</v>
          </cell>
        </row>
        <row r="616">
          <cell r="AC616">
            <v>69260</v>
          </cell>
        </row>
        <row r="617">
          <cell r="AC617">
            <v>31910</v>
          </cell>
        </row>
        <row r="618">
          <cell r="AC618">
            <v>115</v>
          </cell>
        </row>
        <row r="619">
          <cell r="AC619">
            <v>140</v>
          </cell>
        </row>
        <row r="620">
          <cell r="AC620">
            <v>1325</v>
          </cell>
        </row>
        <row r="621">
          <cell r="AC621">
            <v>5028</v>
          </cell>
        </row>
        <row r="622">
          <cell r="AC622">
            <v>39</v>
          </cell>
        </row>
        <row r="623">
          <cell r="AC623">
            <v>49</v>
          </cell>
        </row>
        <row r="624">
          <cell r="AC624">
            <v>465</v>
          </cell>
        </row>
        <row r="625">
          <cell r="AC625">
            <v>1595</v>
          </cell>
        </row>
        <row r="626">
          <cell r="AC626">
            <v>1</v>
          </cell>
        </row>
        <row r="627">
          <cell r="AC627">
            <v>1</v>
          </cell>
        </row>
        <row r="628">
          <cell r="AC628">
            <v>7</v>
          </cell>
        </row>
        <row r="629">
          <cell r="AC629">
            <v>41.8</v>
          </cell>
        </row>
        <row r="630">
          <cell r="AC630">
            <v>4</v>
          </cell>
        </row>
        <row r="631">
          <cell r="AC631">
            <v>5</v>
          </cell>
        </row>
        <row r="632">
          <cell r="AC632">
            <v>40</v>
          </cell>
        </row>
        <row r="633">
          <cell r="AC633">
            <v>155.2</v>
          </cell>
        </row>
        <row r="634">
          <cell r="AC634">
            <v>22</v>
          </cell>
        </row>
        <row r="635">
          <cell r="AC635">
            <v>29</v>
          </cell>
        </row>
        <row r="636">
          <cell r="AC636">
            <v>265</v>
          </cell>
        </row>
        <row r="637">
          <cell r="AC637">
            <v>960.6</v>
          </cell>
        </row>
        <row r="638">
          <cell r="AC638">
            <v>2</v>
          </cell>
        </row>
        <row r="639">
          <cell r="AC639">
            <v>4</v>
          </cell>
        </row>
        <row r="640">
          <cell r="AC640">
            <v>34</v>
          </cell>
        </row>
        <row r="641">
          <cell r="AC641">
            <v>99.25</v>
          </cell>
        </row>
        <row r="642">
          <cell r="AC642">
            <v>9</v>
          </cell>
        </row>
        <row r="643">
          <cell r="AC643">
            <v>13</v>
          </cell>
        </row>
        <row r="644">
          <cell r="AC644">
            <v>117</v>
          </cell>
        </row>
        <row r="645">
          <cell r="AC645">
            <v>331.25</v>
          </cell>
        </row>
        <row r="646">
          <cell r="AC646">
            <v>4</v>
          </cell>
        </row>
        <row r="647">
          <cell r="AC647">
            <v>5</v>
          </cell>
        </row>
        <row r="648">
          <cell r="AC648">
            <v>50</v>
          </cell>
        </row>
        <row r="649">
          <cell r="AC649">
            <v>246.75</v>
          </cell>
        </row>
        <row r="650">
          <cell r="AC650">
            <v>13</v>
          </cell>
        </row>
        <row r="651">
          <cell r="AC651">
            <v>17</v>
          </cell>
        </row>
        <row r="652">
          <cell r="AC652">
            <v>149</v>
          </cell>
        </row>
        <row r="653">
          <cell r="AC653">
            <v>652.5</v>
          </cell>
        </row>
        <row r="654">
          <cell r="AC654">
            <v>3</v>
          </cell>
        </row>
        <row r="655">
          <cell r="AC655">
            <v>4</v>
          </cell>
        </row>
        <row r="656">
          <cell r="AC656">
            <v>33</v>
          </cell>
        </row>
        <row r="657">
          <cell r="AC657">
            <v>209</v>
          </cell>
        </row>
        <row r="658">
          <cell r="AC658">
            <v>5</v>
          </cell>
        </row>
        <row r="659">
          <cell r="AC659">
            <v>8</v>
          </cell>
        </row>
        <row r="660">
          <cell r="AC660">
            <v>67</v>
          </cell>
        </row>
        <row r="661">
          <cell r="AC661">
            <v>340.75</v>
          </cell>
        </row>
        <row r="662">
          <cell r="AC662">
            <v>1</v>
          </cell>
        </row>
        <row r="663">
          <cell r="AC663">
            <v>2</v>
          </cell>
        </row>
        <row r="664">
          <cell r="AC664">
            <v>17</v>
          </cell>
        </row>
        <row r="665">
          <cell r="AC665">
            <v>33.75</v>
          </cell>
        </row>
        <row r="666">
          <cell r="AC666">
            <v>1</v>
          </cell>
        </row>
        <row r="667">
          <cell r="AC667">
            <v>2</v>
          </cell>
        </row>
        <row r="668">
          <cell r="AC668">
            <v>17</v>
          </cell>
        </row>
        <row r="669">
          <cell r="AC669">
            <v>50</v>
          </cell>
        </row>
        <row r="670">
          <cell r="AC670">
            <v>4</v>
          </cell>
        </row>
        <row r="671">
          <cell r="AC671">
            <v>33</v>
          </cell>
        </row>
        <row r="672">
          <cell r="AC672">
            <v>120</v>
          </cell>
        </row>
        <row r="673">
          <cell r="AC673">
            <v>3</v>
          </cell>
        </row>
        <row r="674">
          <cell r="AC674">
            <v>51</v>
          </cell>
        </row>
        <row r="675">
          <cell r="AC675">
            <v>64</v>
          </cell>
        </row>
        <row r="676">
          <cell r="AC676">
            <v>604</v>
          </cell>
        </row>
        <row r="677">
          <cell r="AC677">
            <v>1655.2</v>
          </cell>
        </row>
        <row r="678">
          <cell r="AC678">
            <v>65</v>
          </cell>
        </row>
        <row r="679">
          <cell r="AC679">
            <v>81</v>
          </cell>
        </row>
        <row r="680">
          <cell r="AC680">
            <v>763</v>
          </cell>
        </row>
        <row r="681">
          <cell r="AC681">
            <v>2931.5</v>
          </cell>
        </row>
        <row r="682">
          <cell r="AC682">
            <v>48</v>
          </cell>
        </row>
        <row r="683">
          <cell r="AC683">
            <v>60</v>
          </cell>
        </row>
        <row r="684">
          <cell r="AC684">
            <v>565</v>
          </cell>
        </row>
        <row r="685">
          <cell r="AC685">
            <v>1889.25</v>
          </cell>
        </row>
        <row r="686">
          <cell r="AC686">
            <v>14</v>
          </cell>
        </row>
        <row r="687">
          <cell r="AC687">
            <v>18</v>
          </cell>
        </row>
        <row r="688">
          <cell r="AC688">
            <v>169</v>
          </cell>
        </row>
        <row r="689">
          <cell r="AC689">
            <v>288.15</v>
          </cell>
        </row>
        <row r="690">
          <cell r="AC690">
            <v>6</v>
          </cell>
        </row>
        <row r="691">
          <cell r="AC691">
            <v>7</v>
          </cell>
        </row>
        <row r="692">
          <cell r="AC692">
            <v>66</v>
          </cell>
        </row>
        <row r="693">
          <cell r="AC693">
            <v>119</v>
          </cell>
        </row>
        <row r="694">
          <cell r="AC694">
            <v>7</v>
          </cell>
        </row>
        <row r="695">
          <cell r="AC695">
            <v>9</v>
          </cell>
        </row>
        <row r="696">
          <cell r="AC696">
            <v>83</v>
          </cell>
        </row>
        <row r="697">
          <cell r="AC697">
            <v>365</v>
          </cell>
        </row>
        <row r="698">
          <cell r="AC698">
            <v>7</v>
          </cell>
        </row>
        <row r="699">
          <cell r="AC699">
            <v>9</v>
          </cell>
        </row>
        <row r="700">
          <cell r="AC700">
            <v>83</v>
          </cell>
        </row>
        <row r="701">
          <cell r="AC701">
            <v>138.75</v>
          </cell>
        </row>
        <row r="702">
          <cell r="AC702">
            <v>71</v>
          </cell>
        </row>
        <row r="703">
          <cell r="AC703">
            <v>92</v>
          </cell>
        </row>
        <row r="704">
          <cell r="AC704">
            <v>847</v>
          </cell>
        </row>
        <row r="705">
          <cell r="AC705">
            <v>2970.5</v>
          </cell>
        </row>
        <row r="706">
          <cell r="AC706">
            <v>8</v>
          </cell>
        </row>
        <row r="707">
          <cell r="AC707">
            <v>11</v>
          </cell>
        </row>
        <row r="708">
          <cell r="AC708">
            <v>100</v>
          </cell>
        </row>
        <row r="709">
          <cell r="AC709">
            <v>286.5</v>
          </cell>
        </row>
        <row r="710">
          <cell r="AC710">
            <v>8</v>
          </cell>
        </row>
        <row r="711">
          <cell r="AC711">
            <v>11</v>
          </cell>
        </row>
        <row r="712">
          <cell r="AC712">
            <v>100</v>
          </cell>
        </row>
        <row r="713">
          <cell r="AC713">
            <v>309</v>
          </cell>
        </row>
        <row r="714">
          <cell r="AC714">
            <v>8</v>
          </cell>
        </row>
        <row r="715">
          <cell r="AC715">
            <v>11</v>
          </cell>
        </row>
        <row r="716">
          <cell r="AC716">
            <v>100</v>
          </cell>
        </row>
        <row r="717">
          <cell r="AC717">
            <v>331.5</v>
          </cell>
        </row>
        <row r="718">
          <cell r="AC718">
            <v>33</v>
          </cell>
        </row>
        <row r="719">
          <cell r="AC719">
            <v>43</v>
          </cell>
        </row>
        <row r="720">
          <cell r="AC720">
            <v>399</v>
          </cell>
        </row>
        <row r="721">
          <cell r="AC721">
            <v>1203</v>
          </cell>
        </row>
        <row r="722">
          <cell r="AC722">
            <v>86</v>
          </cell>
        </row>
        <row r="723">
          <cell r="AC723">
            <v>110</v>
          </cell>
        </row>
        <row r="724">
          <cell r="AC724">
            <v>1030</v>
          </cell>
        </row>
        <row r="725">
          <cell r="AC725">
            <v>3463</v>
          </cell>
        </row>
        <row r="726">
          <cell r="AC726">
            <v>30</v>
          </cell>
        </row>
        <row r="727">
          <cell r="AC727">
            <v>39</v>
          </cell>
        </row>
        <row r="728">
          <cell r="AC728">
            <v>366</v>
          </cell>
        </row>
        <row r="729">
          <cell r="AC729">
            <v>1595.5</v>
          </cell>
        </row>
        <row r="730">
          <cell r="AC730">
            <v>4</v>
          </cell>
        </row>
        <row r="731">
          <cell r="AC731">
            <v>5</v>
          </cell>
        </row>
        <row r="732">
          <cell r="AC732">
            <v>46</v>
          </cell>
        </row>
        <row r="733">
          <cell r="AC733">
            <v>214.2</v>
          </cell>
        </row>
        <row r="734">
          <cell r="AC734">
            <v>16</v>
          </cell>
        </row>
        <row r="735">
          <cell r="AC735">
            <v>22</v>
          </cell>
        </row>
        <row r="736">
          <cell r="AC736">
            <v>200</v>
          </cell>
        </row>
        <row r="737">
          <cell r="AC737">
            <v>813</v>
          </cell>
        </row>
        <row r="738">
          <cell r="AC738">
            <v>75760</v>
          </cell>
        </row>
        <row r="739">
          <cell r="AC739">
            <v>13480</v>
          </cell>
        </row>
        <row r="740">
          <cell r="AC740">
            <v>85011.5</v>
          </cell>
        </row>
        <row r="741">
          <cell r="AC741">
            <v>6426</v>
          </cell>
        </row>
        <row r="742">
          <cell r="AC742">
            <v>8620</v>
          </cell>
        </row>
        <row r="743">
          <cell r="AC743">
            <v>105440</v>
          </cell>
        </row>
        <row r="744">
          <cell r="AC744">
            <v>25300</v>
          </cell>
        </row>
        <row r="745">
          <cell r="AC745">
            <v>33420</v>
          </cell>
        </row>
        <row r="746">
          <cell r="AC746">
            <v>438</v>
          </cell>
        </row>
        <row r="747">
          <cell r="AC747">
            <v>2836</v>
          </cell>
        </row>
        <row r="748">
          <cell r="AC748">
            <v>36828</v>
          </cell>
        </row>
        <row r="749">
          <cell r="AC749">
            <v>1480</v>
          </cell>
        </row>
        <row r="750">
          <cell r="AC750">
            <v>7595</v>
          </cell>
        </row>
        <row r="751">
          <cell r="AC751">
            <v>11040</v>
          </cell>
        </row>
        <row r="752">
          <cell r="AC752">
            <v>6030</v>
          </cell>
        </row>
        <row r="753">
          <cell r="AC753">
            <v>6480</v>
          </cell>
        </row>
        <row r="754">
          <cell r="AC754">
            <v>6930</v>
          </cell>
        </row>
        <row r="755">
          <cell r="AC755">
            <v>25230</v>
          </cell>
        </row>
        <row r="756">
          <cell r="AC756">
            <v>72610</v>
          </cell>
        </row>
        <row r="757">
          <cell r="AC757">
            <v>33390</v>
          </cell>
        </row>
        <row r="758">
          <cell r="AC758">
            <v>11935</v>
          </cell>
        </row>
        <row r="759">
          <cell r="AC759">
            <v>2900</v>
          </cell>
        </row>
        <row r="760">
          <cell r="AC760">
            <v>5800</v>
          </cell>
        </row>
        <row r="761">
          <cell r="AC761">
            <v>62230</v>
          </cell>
        </row>
        <row r="762">
          <cell r="AC762">
            <v>20950</v>
          </cell>
        </row>
        <row r="763">
          <cell r="AC763">
            <v>10050</v>
          </cell>
        </row>
        <row r="764">
          <cell r="AC764">
            <v>6740</v>
          </cell>
        </row>
        <row r="765">
          <cell r="AC765">
            <v>1005</v>
          </cell>
        </row>
        <row r="766">
          <cell r="AC766">
            <v>3910</v>
          </cell>
        </row>
        <row r="767">
          <cell r="AC767">
            <v>16420</v>
          </cell>
        </row>
        <row r="768">
          <cell r="AC768">
            <v>8550</v>
          </cell>
        </row>
        <row r="769">
          <cell r="AC769">
            <v>17040</v>
          </cell>
        </row>
        <row r="770">
          <cell r="AC770">
            <v>238</v>
          </cell>
        </row>
        <row r="771">
          <cell r="AC771">
            <v>9760</v>
          </cell>
        </row>
        <row r="772">
          <cell r="AC772">
            <v>16500</v>
          </cell>
        </row>
        <row r="773">
          <cell r="AC773">
            <v>17120</v>
          </cell>
        </row>
        <row r="774">
          <cell r="AC774">
            <v>22140</v>
          </cell>
        </row>
        <row r="775">
          <cell r="AC775">
            <v>104880</v>
          </cell>
        </row>
        <row r="776">
          <cell r="AC776">
            <v>111</v>
          </cell>
        </row>
        <row r="777">
          <cell r="AC777">
            <v>552</v>
          </cell>
        </row>
        <row r="778">
          <cell r="AC778">
            <v>21</v>
          </cell>
        </row>
        <row r="779">
          <cell r="AC779">
            <v>25</v>
          </cell>
        </row>
        <row r="780">
          <cell r="AC780">
            <v>242</v>
          </cell>
        </row>
        <row r="781">
          <cell r="AC781">
            <v>1047.5</v>
          </cell>
        </row>
        <row r="782">
          <cell r="AC782">
            <v>9</v>
          </cell>
        </row>
        <row r="783">
          <cell r="AC783">
            <v>12</v>
          </cell>
        </row>
        <row r="784">
          <cell r="AC784">
            <v>105</v>
          </cell>
        </row>
        <row r="785">
          <cell r="AC785">
            <v>502.5</v>
          </cell>
        </row>
        <row r="786">
          <cell r="AC786">
            <v>120</v>
          </cell>
        </row>
        <row r="787">
          <cell r="AC787">
            <v>150</v>
          </cell>
        </row>
        <row r="788">
          <cell r="AC788">
            <v>1385</v>
          </cell>
        </row>
        <row r="789">
          <cell r="AC789">
            <v>3788</v>
          </cell>
        </row>
        <row r="790">
          <cell r="AC790">
            <v>6</v>
          </cell>
        </row>
        <row r="791">
          <cell r="AC791">
            <v>7</v>
          </cell>
        </row>
        <row r="792">
          <cell r="AC792">
            <v>69</v>
          </cell>
        </row>
        <row r="793">
          <cell r="AC793">
            <v>431</v>
          </cell>
        </row>
        <row r="794">
          <cell r="AC794">
            <v>120</v>
          </cell>
        </row>
        <row r="795">
          <cell r="AC795">
            <v>150</v>
          </cell>
        </row>
        <row r="796">
          <cell r="AC796">
            <v>1385</v>
          </cell>
        </row>
        <row r="797">
          <cell r="AC797">
            <v>5272</v>
          </cell>
        </row>
        <row r="798">
          <cell r="AC798">
            <v>30</v>
          </cell>
        </row>
        <row r="799">
          <cell r="AC799">
            <v>38</v>
          </cell>
        </row>
        <row r="800">
          <cell r="AC800">
            <v>346</v>
          </cell>
        </row>
        <row r="801">
          <cell r="AC801">
            <v>1265</v>
          </cell>
        </row>
        <row r="802">
          <cell r="AC802">
            <v>42</v>
          </cell>
        </row>
        <row r="803">
          <cell r="AC803">
            <v>52</v>
          </cell>
        </row>
        <row r="804">
          <cell r="AC804">
            <v>486</v>
          </cell>
        </row>
        <row r="805">
          <cell r="AC805">
            <v>1671</v>
          </cell>
        </row>
        <row r="806">
          <cell r="AC806">
            <v>3</v>
          </cell>
        </row>
        <row r="807">
          <cell r="AC807">
            <v>21.9</v>
          </cell>
        </row>
        <row r="808">
          <cell r="AC808">
            <v>3</v>
          </cell>
        </row>
        <row r="809">
          <cell r="AC809">
            <v>4</v>
          </cell>
        </row>
        <row r="810">
          <cell r="AC810">
            <v>38</v>
          </cell>
        </row>
        <row r="811">
          <cell r="AC811">
            <v>141.8</v>
          </cell>
        </row>
        <row r="812">
          <cell r="AC812">
            <v>52</v>
          </cell>
        </row>
        <row r="813">
          <cell r="AC813">
            <v>64</v>
          </cell>
        </row>
        <row r="814">
          <cell r="AC814">
            <v>612</v>
          </cell>
        </row>
        <row r="815">
          <cell r="AC815">
            <v>1841.4</v>
          </cell>
        </row>
        <row r="816">
          <cell r="AC816">
            <v>87</v>
          </cell>
        </row>
        <row r="817">
          <cell r="AC817">
            <v>290</v>
          </cell>
        </row>
        <row r="818">
          <cell r="AC818">
            <v>73</v>
          </cell>
        </row>
        <row r="819">
          <cell r="AC819">
            <v>93</v>
          </cell>
        </row>
        <row r="820">
          <cell r="AC820">
            <v>886</v>
          </cell>
        </row>
        <row r="821">
          <cell r="AC821">
            <v>3111.5</v>
          </cell>
        </row>
        <row r="822">
          <cell r="AC822">
            <v>9</v>
          </cell>
        </row>
        <row r="823">
          <cell r="AC823">
            <v>11</v>
          </cell>
        </row>
        <row r="824">
          <cell r="AC824">
            <v>104</v>
          </cell>
        </row>
        <row r="825">
          <cell r="AC825">
            <v>301.5</v>
          </cell>
        </row>
        <row r="826">
          <cell r="AC826">
            <v>9</v>
          </cell>
        </row>
        <row r="827">
          <cell r="AC827">
            <v>11</v>
          </cell>
        </row>
        <row r="828">
          <cell r="AC828">
            <v>104</v>
          </cell>
        </row>
        <row r="829">
          <cell r="AC829">
            <v>324</v>
          </cell>
        </row>
        <row r="830">
          <cell r="AC830">
            <v>9</v>
          </cell>
        </row>
        <row r="831">
          <cell r="AC831">
            <v>11</v>
          </cell>
        </row>
        <row r="832">
          <cell r="AC832">
            <v>104</v>
          </cell>
        </row>
        <row r="833">
          <cell r="AC833">
            <v>346.5</v>
          </cell>
        </row>
        <row r="834">
          <cell r="AC834">
            <v>36</v>
          </cell>
        </row>
        <row r="835">
          <cell r="AC835">
            <v>45</v>
          </cell>
        </row>
        <row r="836">
          <cell r="AC836">
            <v>417</v>
          </cell>
        </row>
        <row r="837">
          <cell r="AC837">
            <v>1261.5</v>
          </cell>
        </row>
        <row r="838">
          <cell r="AC838">
            <v>120</v>
          </cell>
        </row>
        <row r="839">
          <cell r="AC839">
            <v>150</v>
          </cell>
        </row>
        <row r="840">
          <cell r="AC840">
            <v>1385</v>
          </cell>
        </row>
        <row r="841">
          <cell r="AC841">
            <v>4864</v>
          </cell>
        </row>
        <row r="842">
          <cell r="AC842">
            <v>108</v>
          </cell>
        </row>
        <row r="843">
          <cell r="AC843">
            <v>132</v>
          </cell>
        </row>
        <row r="844">
          <cell r="AC844">
            <v>1247</v>
          </cell>
        </row>
        <row r="845">
          <cell r="AC845">
            <v>4250.58</v>
          </cell>
        </row>
        <row r="846">
          <cell r="AC846">
            <v>16</v>
          </cell>
        </row>
        <row r="847">
          <cell r="AC847">
            <v>20</v>
          </cell>
        </row>
        <row r="848">
          <cell r="AC848">
            <v>187</v>
          </cell>
        </row>
        <row r="849">
          <cell r="AC849">
            <v>321.3</v>
          </cell>
        </row>
        <row r="850">
          <cell r="AC850">
            <v>10</v>
          </cell>
        </row>
        <row r="851">
          <cell r="AC851">
            <v>13</v>
          </cell>
        </row>
        <row r="852">
          <cell r="AC852">
            <v>122</v>
          </cell>
        </row>
        <row r="853">
          <cell r="AC853">
            <v>596.75</v>
          </cell>
        </row>
        <row r="854">
          <cell r="AC854">
            <v>7</v>
          </cell>
        </row>
        <row r="855">
          <cell r="AC855">
            <v>9</v>
          </cell>
        </row>
        <row r="856">
          <cell r="AC856">
            <v>87</v>
          </cell>
        </row>
        <row r="857">
          <cell r="AC857">
            <v>145</v>
          </cell>
        </row>
        <row r="858">
          <cell r="AC858">
            <v>3</v>
          </cell>
        </row>
        <row r="859">
          <cell r="AC859">
            <v>4</v>
          </cell>
        </row>
        <row r="860">
          <cell r="AC860">
            <v>35</v>
          </cell>
        </row>
        <row r="861">
          <cell r="AC861">
            <v>74</v>
          </cell>
        </row>
        <row r="862">
          <cell r="AC862">
            <v>12</v>
          </cell>
        </row>
        <row r="863">
          <cell r="AC863">
            <v>15</v>
          </cell>
        </row>
        <row r="864">
          <cell r="AC864">
            <v>142</v>
          </cell>
        </row>
        <row r="865">
          <cell r="AC865">
            <v>379.75</v>
          </cell>
        </row>
        <row r="866">
          <cell r="AC866">
            <v>9</v>
          </cell>
        </row>
        <row r="867">
          <cell r="AC867">
            <v>12</v>
          </cell>
        </row>
        <row r="868">
          <cell r="AC868">
            <v>18</v>
          </cell>
        </row>
        <row r="869">
          <cell r="AC869">
            <v>22</v>
          </cell>
        </row>
        <row r="870">
          <cell r="AC870">
            <v>208</v>
          </cell>
        </row>
        <row r="871">
          <cell r="AC871">
            <v>852</v>
          </cell>
        </row>
        <row r="872">
          <cell r="AC872">
            <v>12</v>
          </cell>
        </row>
        <row r="873">
          <cell r="AC873">
            <v>14</v>
          </cell>
        </row>
        <row r="874">
          <cell r="AC874">
            <v>138</v>
          </cell>
        </row>
        <row r="875">
          <cell r="AC875">
            <v>674</v>
          </cell>
        </row>
        <row r="876">
          <cell r="AC876">
            <v>6</v>
          </cell>
        </row>
        <row r="877">
          <cell r="AC877">
            <v>8</v>
          </cell>
        </row>
        <row r="878">
          <cell r="AC878">
            <v>70</v>
          </cell>
        </row>
        <row r="879">
          <cell r="AC879">
            <v>337</v>
          </cell>
        </row>
        <row r="880">
          <cell r="AC880">
            <v>1</v>
          </cell>
        </row>
        <row r="881">
          <cell r="AC881">
            <v>2</v>
          </cell>
        </row>
        <row r="882">
          <cell r="AC882">
            <v>17</v>
          </cell>
        </row>
        <row r="883">
          <cell r="AC883">
            <v>50.25</v>
          </cell>
        </row>
        <row r="884">
          <cell r="AC884">
            <v>3</v>
          </cell>
        </row>
        <row r="885">
          <cell r="AC885">
            <v>4</v>
          </cell>
        </row>
        <row r="886">
          <cell r="AC886">
            <v>35</v>
          </cell>
        </row>
        <row r="887">
          <cell r="AC887">
            <v>195.5</v>
          </cell>
        </row>
        <row r="888">
          <cell r="AC888">
            <v>14</v>
          </cell>
        </row>
        <row r="889">
          <cell r="AC889">
            <v>20</v>
          </cell>
        </row>
        <row r="890">
          <cell r="AC890">
            <v>174</v>
          </cell>
        </row>
        <row r="891">
          <cell r="AC891">
            <v>821</v>
          </cell>
        </row>
        <row r="892">
          <cell r="AC892">
            <v>7</v>
          </cell>
        </row>
        <row r="893">
          <cell r="AC893">
            <v>9</v>
          </cell>
        </row>
        <row r="894">
          <cell r="AC894">
            <v>87</v>
          </cell>
        </row>
        <row r="895">
          <cell r="AC895">
            <v>427.5</v>
          </cell>
        </row>
        <row r="896">
          <cell r="AC896">
            <v>93</v>
          </cell>
        </row>
        <row r="897">
          <cell r="AC897">
            <v>114</v>
          </cell>
        </row>
        <row r="898">
          <cell r="AC898">
            <v>1075</v>
          </cell>
        </row>
        <row r="899">
          <cell r="AC899">
            <v>3630.5</v>
          </cell>
        </row>
        <row r="900">
          <cell r="AC900">
            <v>33</v>
          </cell>
        </row>
        <row r="901">
          <cell r="AC901">
            <v>41</v>
          </cell>
        </row>
        <row r="902">
          <cell r="AC902">
            <v>382</v>
          </cell>
        </row>
        <row r="903">
          <cell r="AC903">
            <v>1669.5</v>
          </cell>
        </row>
        <row r="904">
          <cell r="AC904">
            <v>1</v>
          </cell>
        </row>
        <row r="905">
          <cell r="AC905">
            <v>1</v>
          </cell>
        </row>
        <row r="906">
          <cell r="AC906">
            <v>7</v>
          </cell>
        </row>
        <row r="907">
          <cell r="AC907">
            <v>11.9</v>
          </cell>
        </row>
        <row r="908">
          <cell r="AC908">
            <v>24</v>
          </cell>
        </row>
        <row r="909">
          <cell r="AC909">
            <v>30</v>
          </cell>
        </row>
        <row r="910">
          <cell r="AC910">
            <v>277</v>
          </cell>
        </row>
        <row r="911">
          <cell r="AC911">
            <v>488</v>
          </cell>
        </row>
        <row r="912">
          <cell r="AC912">
            <v>825</v>
          </cell>
        </row>
        <row r="913">
          <cell r="AC913">
            <v>856</v>
          </cell>
        </row>
        <row r="914">
          <cell r="AC914">
            <v>18</v>
          </cell>
        </row>
        <row r="915">
          <cell r="AC915">
            <v>22</v>
          </cell>
        </row>
        <row r="916">
          <cell r="AC916">
            <v>208</v>
          </cell>
        </row>
        <row r="917">
          <cell r="AC917">
            <v>1107</v>
          </cell>
        </row>
        <row r="918">
          <cell r="AC918">
            <v>7</v>
          </cell>
        </row>
        <row r="919">
          <cell r="AC919">
            <v>9</v>
          </cell>
        </row>
        <row r="920">
          <cell r="AC920">
            <v>7710</v>
          </cell>
        </row>
        <row r="921">
          <cell r="AC921">
            <v>13640</v>
          </cell>
        </row>
        <row r="922">
          <cell r="AC922">
            <v>10450</v>
          </cell>
        </row>
        <row r="923">
          <cell r="AC923">
            <v>7140</v>
          </cell>
        </row>
        <row r="924">
          <cell r="AC924">
            <v>12880</v>
          </cell>
        </row>
        <row r="925">
          <cell r="AC925">
            <v>11460</v>
          </cell>
        </row>
        <row r="926">
          <cell r="AC926">
            <v>29840</v>
          </cell>
        </row>
        <row r="927">
          <cell r="AC927">
            <v>91920</v>
          </cell>
        </row>
        <row r="928">
          <cell r="AC928">
            <v>26080</v>
          </cell>
        </row>
        <row r="929">
          <cell r="AC929">
            <v>30200</v>
          </cell>
        </row>
        <row r="930">
          <cell r="AC930">
            <v>7650</v>
          </cell>
        </row>
        <row r="931">
          <cell r="AC931">
            <v>2260</v>
          </cell>
        </row>
        <row r="932">
          <cell r="AC932">
            <v>9360</v>
          </cell>
        </row>
        <row r="933">
          <cell r="AC933">
            <v>21120</v>
          </cell>
        </row>
        <row r="934">
          <cell r="AC934">
            <v>12880</v>
          </cell>
        </row>
        <row r="935">
          <cell r="AC935">
            <v>3820</v>
          </cell>
        </row>
        <row r="936">
          <cell r="AC936">
            <v>10300</v>
          </cell>
        </row>
        <row r="937">
          <cell r="AC937">
            <v>2210</v>
          </cell>
        </row>
        <row r="938">
          <cell r="AC938">
            <v>39260</v>
          </cell>
        </row>
        <row r="939">
          <cell r="AC939">
            <v>98010</v>
          </cell>
        </row>
        <row r="940">
          <cell r="AC940">
            <v>44730</v>
          </cell>
        </row>
        <row r="941">
          <cell r="AC941">
            <v>19040</v>
          </cell>
        </row>
        <row r="942">
          <cell r="AC942">
            <v>23360</v>
          </cell>
        </row>
        <row r="943">
          <cell r="AC943">
            <v>8880</v>
          </cell>
        </row>
        <row r="944">
          <cell r="AC944">
            <v>17680</v>
          </cell>
        </row>
        <row r="945">
          <cell r="AC945">
            <v>2270</v>
          </cell>
        </row>
        <row r="946">
          <cell r="AC946">
            <v>127670</v>
          </cell>
        </row>
        <row r="947">
          <cell r="AC947">
            <v>34770</v>
          </cell>
        </row>
        <row r="948">
          <cell r="AC948">
            <v>19180</v>
          </cell>
        </row>
        <row r="949">
          <cell r="AC949">
            <v>72240</v>
          </cell>
        </row>
        <row r="950">
          <cell r="AC950">
            <v>100160</v>
          </cell>
        </row>
        <row r="951">
          <cell r="AC951">
            <v>329700</v>
          </cell>
        </row>
        <row r="952">
          <cell r="AC952">
            <v>15180</v>
          </cell>
        </row>
        <row r="953">
          <cell r="AC953">
            <v>148400</v>
          </cell>
        </row>
        <row r="954">
          <cell r="AC954">
            <v>31900</v>
          </cell>
        </row>
        <row r="955">
          <cell r="AC955">
            <v>418</v>
          </cell>
        </row>
        <row r="956">
          <cell r="AC956">
            <v>3862</v>
          </cell>
        </row>
        <row r="957">
          <cell r="AC957">
            <v>73845</v>
          </cell>
        </row>
        <row r="958">
          <cell r="AC958">
            <v>16142</v>
          </cell>
        </row>
        <row r="959">
          <cell r="AC959">
            <v>13160</v>
          </cell>
        </row>
        <row r="960">
          <cell r="AC960">
            <v>132</v>
          </cell>
        </row>
        <row r="961">
          <cell r="AC961">
            <v>658</v>
          </cell>
        </row>
        <row r="962">
          <cell r="AC962">
            <v>32</v>
          </cell>
        </row>
        <row r="963">
          <cell r="AC963">
            <v>44</v>
          </cell>
        </row>
        <row r="964">
          <cell r="AC964">
            <v>396</v>
          </cell>
        </row>
        <row r="965">
          <cell r="AC965">
            <v>1738.5</v>
          </cell>
        </row>
        <row r="966">
          <cell r="AC966">
            <v>18</v>
          </cell>
        </row>
        <row r="967">
          <cell r="AC967">
            <v>21</v>
          </cell>
        </row>
        <row r="968">
          <cell r="AC968">
            <v>198</v>
          </cell>
        </row>
        <row r="969">
          <cell r="AC969">
            <v>959</v>
          </cell>
        </row>
        <row r="970">
          <cell r="AC970">
            <v>110</v>
          </cell>
        </row>
        <row r="971">
          <cell r="AC971">
            <v>140</v>
          </cell>
        </row>
        <row r="972">
          <cell r="AC972">
            <v>160</v>
          </cell>
        </row>
        <row r="973">
          <cell r="AC973">
            <v>203</v>
          </cell>
        </row>
        <row r="974">
          <cell r="AC974">
            <v>1914</v>
          </cell>
        </row>
        <row r="975">
          <cell r="AC975">
            <v>7284</v>
          </cell>
        </row>
        <row r="976">
          <cell r="AC976">
            <v>462</v>
          </cell>
        </row>
        <row r="977">
          <cell r="AC977">
            <v>1595</v>
          </cell>
        </row>
        <row r="978">
          <cell r="AC978">
            <v>39</v>
          </cell>
        </row>
        <row r="979">
          <cell r="AC979">
            <v>49</v>
          </cell>
        </row>
        <row r="980">
          <cell r="AC980">
            <v>3</v>
          </cell>
        </row>
        <row r="981">
          <cell r="AC981">
            <v>20.9</v>
          </cell>
        </row>
        <row r="982">
          <cell r="AC982">
            <v>4</v>
          </cell>
        </row>
        <row r="983">
          <cell r="AC983">
            <v>5</v>
          </cell>
        </row>
        <row r="984">
          <cell r="AC984">
            <v>53</v>
          </cell>
        </row>
        <row r="985">
          <cell r="AC985">
            <v>193.1</v>
          </cell>
        </row>
        <row r="986">
          <cell r="AC986">
            <v>95</v>
          </cell>
        </row>
        <row r="987">
          <cell r="AC987">
            <v>121</v>
          </cell>
        </row>
        <row r="988">
          <cell r="AC988">
            <v>1139</v>
          </cell>
        </row>
        <row r="989">
          <cell r="AC989">
            <v>3692.25</v>
          </cell>
        </row>
        <row r="990">
          <cell r="AC990">
            <v>6</v>
          </cell>
        </row>
        <row r="991">
          <cell r="AC991">
            <v>7</v>
          </cell>
        </row>
        <row r="992">
          <cell r="AC992">
            <v>66</v>
          </cell>
        </row>
        <row r="993">
          <cell r="AC993">
            <v>113</v>
          </cell>
        </row>
        <row r="994">
          <cell r="AC994">
            <v>22</v>
          </cell>
        </row>
        <row r="995">
          <cell r="AC995">
            <v>28</v>
          </cell>
        </row>
        <row r="996">
          <cell r="AC996">
            <v>264</v>
          </cell>
        </row>
        <row r="997">
          <cell r="AC997">
            <v>468</v>
          </cell>
        </row>
        <row r="998">
          <cell r="AC998">
            <v>444</v>
          </cell>
        </row>
        <row r="999">
          <cell r="AC999">
            <v>22</v>
          </cell>
        </row>
        <row r="1000">
          <cell r="AC1000">
            <v>28</v>
          </cell>
        </row>
        <row r="1001">
          <cell r="AC1001">
            <v>264</v>
          </cell>
        </row>
        <row r="1002">
          <cell r="AC1002">
            <v>884</v>
          </cell>
        </row>
        <row r="1003">
          <cell r="AC1003">
            <v>3</v>
          </cell>
        </row>
        <row r="1004">
          <cell r="AC1004">
            <v>4</v>
          </cell>
        </row>
        <row r="1005">
          <cell r="AC1005">
            <v>33</v>
          </cell>
        </row>
        <row r="1006">
          <cell r="AC1006">
            <v>113.5</v>
          </cell>
        </row>
        <row r="1007">
          <cell r="AC1007">
            <v>174</v>
          </cell>
        </row>
        <row r="1008">
          <cell r="AC1008">
            <v>222</v>
          </cell>
        </row>
        <row r="1009">
          <cell r="AC1009">
            <v>2079</v>
          </cell>
        </row>
        <row r="1010">
          <cell r="AC1010">
            <v>6383.5</v>
          </cell>
        </row>
        <row r="1011">
          <cell r="AC1011">
            <v>6</v>
          </cell>
        </row>
        <row r="1012">
          <cell r="AC1012">
            <v>7</v>
          </cell>
        </row>
        <row r="1013">
          <cell r="AC1013">
            <v>66</v>
          </cell>
        </row>
        <row r="1014">
          <cell r="AC1014">
            <v>191</v>
          </cell>
        </row>
        <row r="1015">
          <cell r="AC1015">
            <v>14</v>
          </cell>
        </row>
        <row r="1016">
          <cell r="AC1016">
            <v>18</v>
          </cell>
        </row>
        <row r="1017">
          <cell r="AC1017">
            <v>165</v>
          </cell>
        </row>
        <row r="1018">
          <cell r="AC1018">
            <v>515</v>
          </cell>
        </row>
        <row r="1019">
          <cell r="AC1019">
            <v>3</v>
          </cell>
        </row>
        <row r="1020">
          <cell r="AC1020">
            <v>4</v>
          </cell>
        </row>
        <row r="1021">
          <cell r="AC1021">
            <v>33</v>
          </cell>
        </row>
        <row r="1022">
          <cell r="AC1022">
            <v>110.5</v>
          </cell>
        </row>
        <row r="1023">
          <cell r="AC1023">
            <v>1320</v>
          </cell>
        </row>
        <row r="1024">
          <cell r="AC1024">
            <v>3612</v>
          </cell>
        </row>
        <row r="1025">
          <cell r="AC1025">
            <v>110</v>
          </cell>
        </row>
        <row r="1026">
          <cell r="AC1026">
            <v>140</v>
          </cell>
        </row>
        <row r="1027">
          <cell r="AC1027">
            <v>1320</v>
          </cell>
        </row>
        <row r="1028">
          <cell r="AC1028">
            <v>4712</v>
          </cell>
        </row>
        <row r="1029">
          <cell r="AC1029">
            <v>391</v>
          </cell>
        </row>
        <row r="1030">
          <cell r="AC1030">
            <v>497</v>
          </cell>
        </row>
        <row r="1031">
          <cell r="AC1031">
            <v>4686</v>
          </cell>
        </row>
        <row r="1032">
          <cell r="AC1032">
            <v>15785</v>
          </cell>
        </row>
        <row r="1033">
          <cell r="AC1033">
            <v>39</v>
          </cell>
        </row>
        <row r="1034">
          <cell r="AC1034">
            <v>49</v>
          </cell>
        </row>
        <row r="1035">
          <cell r="AC1035">
            <v>462</v>
          </cell>
        </row>
        <row r="1036">
          <cell r="AC1036">
            <v>759</v>
          </cell>
        </row>
        <row r="1037">
          <cell r="AC1037">
            <v>44</v>
          </cell>
        </row>
        <row r="1038">
          <cell r="AC1038">
            <v>56</v>
          </cell>
        </row>
        <row r="1039">
          <cell r="AC1039">
            <v>528</v>
          </cell>
        </row>
        <row r="1040">
          <cell r="AC1040">
            <v>952</v>
          </cell>
        </row>
        <row r="1041">
          <cell r="AC1041">
            <v>22</v>
          </cell>
        </row>
        <row r="1042">
          <cell r="AC1042">
            <v>28</v>
          </cell>
        </row>
        <row r="1043">
          <cell r="AC1043">
            <v>264</v>
          </cell>
        </row>
        <row r="1044">
          <cell r="AC1044">
            <v>1168</v>
          </cell>
        </row>
        <row r="1045">
          <cell r="AC1045">
            <v>22</v>
          </cell>
        </row>
        <row r="1046">
          <cell r="AC1046">
            <v>28</v>
          </cell>
        </row>
        <row r="1047">
          <cell r="AC1047">
            <v>264</v>
          </cell>
        </row>
        <row r="1048">
          <cell r="AC1048">
            <v>23</v>
          </cell>
        </row>
        <row r="1049">
          <cell r="AC1049">
            <v>29</v>
          </cell>
        </row>
        <row r="1050">
          <cell r="AC1050">
            <v>271</v>
          </cell>
        </row>
        <row r="1051">
          <cell r="AC1051">
            <v>807.1</v>
          </cell>
        </row>
        <row r="1052">
          <cell r="AC1052">
            <v>11</v>
          </cell>
        </row>
        <row r="1053">
          <cell r="AC1053">
            <v>14</v>
          </cell>
        </row>
        <row r="1054">
          <cell r="AC1054">
            <v>264</v>
          </cell>
        </row>
        <row r="1055">
          <cell r="AC1055">
            <v>1304</v>
          </cell>
        </row>
        <row r="1056">
          <cell r="AC1056">
            <v>33</v>
          </cell>
        </row>
        <row r="1057">
          <cell r="AC1057">
            <v>42</v>
          </cell>
        </row>
        <row r="1058">
          <cell r="AC1058">
            <v>396</v>
          </cell>
        </row>
        <row r="1059">
          <cell r="AC1059">
            <v>1510</v>
          </cell>
        </row>
        <row r="1060">
          <cell r="AC1060">
            <v>8</v>
          </cell>
        </row>
        <row r="1061">
          <cell r="AC1061">
            <v>11</v>
          </cell>
        </row>
        <row r="1062">
          <cell r="AC1062">
            <v>99</v>
          </cell>
        </row>
        <row r="1063">
          <cell r="AC1063">
            <v>385.5</v>
          </cell>
        </row>
        <row r="1064">
          <cell r="AC1064">
            <v>12</v>
          </cell>
        </row>
        <row r="1065">
          <cell r="AC1065">
            <v>14</v>
          </cell>
        </row>
        <row r="1066">
          <cell r="AC1066">
            <v>132</v>
          </cell>
        </row>
        <row r="1067">
          <cell r="AC1067">
            <v>682</v>
          </cell>
        </row>
        <row r="1068">
          <cell r="AC1068">
            <v>7</v>
          </cell>
        </row>
        <row r="1069">
          <cell r="AC1069">
            <v>9</v>
          </cell>
        </row>
        <row r="1070">
          <cell r="AC1070">
            <v>83</v>
          </cell>
        </row>
        <row r="1071">
          <cell r="AC1071">
            <v>522.5</v>
          </cell>
        </row>
        <row r="1072">
          <cell r="AC1072">
            <v>17</v>
          </cell>
        </row>
        <row r="1073">
          <cell r="AC1073">
            <v>21</v>
          </cell>
        </row>
        <row r="1074">
          <cell r="AC1074">
            <v>198</v>
          </cell>
        </row>
        <row r="1075">
          <cell r="AC1075">
            <v>357</v>
          </cell>
        </row>
        <row r="1076">
          <cell r="AC1076">
            <v>17</v>
          </cell>
        </row>
        <row r="1077">
          <cell r="AC1077">
            <v>21</v>
          </cell>
        </row>
        <row r="1078">
          <cell r="AC1078">
            <v>198</v>
          </cell>
        </row>
        <row r="1079">
          <cell r="AC1079">
            <v>1056</v>
          </cell>
        </row>
        <row r="1080">
          <cell r="AC1080">
            <v>12</v>
          </cell>
        </row>
        <row r="1081">
          <cell r="AC1081">
            <v>14</v>
          </cell>
        </row>
        <row r="1082">
          <cell r="AC1082">
            <v>132</v>
          </cell>
        </row>
        <row r="1083">
          <cell r="AC1083">
            <v>644</v>
          </cell>
        </row>
        <row r="1084">
          <cell r="AC1084">
            <v>12</v>
          </cell>
        </row>
        <row r="1085">
          <cell r="AC1085">
            <v>14</v>
          </cell>
        </row>
        <row r="1086">
          <cell r="AC1086">
            <v>132</v>
          </cell>
        </row>
        <row r="1087">
          <cell r="AC1087">
            <v>644</v>
          </cell>
        </row>
        <row r="1088">
          <cell r="AC1088">
            <v>17</v>
          </cell>
        </row>
        <row r="1089">
          <cell r="AC1089">
            <v>21</v>
          </cell>
        </row>
        <row r="1090">
          <cell r="AC1090">
            <v>198</v>
          </cell>
        </row>
        <row r="1091">
          <cell r="AC1091">
            <v>573</v>
          </cell>
        </row>
        <row r="1092">
          <cell r="AC1092">
            <v>22</v>
          </cell>
        </row>
        <row r="1093">
          <cell r="AC1093">
            <v>28</v>
          </cell>
        </row>
        <row r="1094">
          <cell r="AC1094">
            <v>264</v>
          </cell>
        </row>
        <row r="1095">
          <cell r="AC1095">
            <v>1492</v>
          </cell>
        </row>
        <row r="1096">
          <cell r="AC1096">
            <v>119</v>
          </cell>
        </row>
        <row r="1097">
          <cell r="AC1097">
            <v>148</v>
          </cell>
        </row>
        <row r="1098">
          <cell r="AC1098">
            <v>1386</v>
          </cell>
        </row>
        <row r="1099">
          <cell r="AC1099">
            <v>4596</v>
          </cell>
        </row>
        <row r="1100">
          <cell r="AC1100">
            <v>22</v>
          </cell>
        </row>
        <row r="1101">
          <cell r="AC1101">
            <v>28</v>
          </cell>
        </row>
        <row r="1102">
          <cell r="AC1102">
            <v>54</v>
          </cell>
        </row>
        <row r="1103">
          <cell r="AC1103">
            <v>67</v>
          </cell>
        </row>
        <row r="1104">
          <cell r="AC1104">
            <v>627</v>
          </cell>
        </row>
        <row r="1105">
          <cell r="AC1105">
            <v>1963</v>
          </cell>
        </row>
        <row r="1106">
          <cell r="AC1106">
            <v>122</v>
          </cell>
        </row>
        <row r="1107">
          <cell r="AC1107">
            <v>155</v>
          </cell>
        </row>
        <row r="1108">
          <cell r="AC1108">
            <v>1452</v>
          </cell>
        </row>
        <row r="1109">
          <cell r="AC1109">
            <v>4900.5</v>
          </cell>
        </row>
        <row r="1110">
          <cell r="AC1110">
            <v>42</v>
          </cell>
        </row>
        <row r="1111">
          <cell r="AC1111">
            <v>53</v>
          </cell>
        </row>
        <row r="1112">
          <cell r="AC1112">
            <v>495</v>
          </cell>
        </row>
        <row r="1113">
          <cell r="AC1113">
            <v>2236.5</v>
          </cell>
        </row>
        <row r="1114">
          <cell r="AC1114">
            <v>7</v>
          </cell>
        </row>
        <row r="1115">
          <cell r="AC1115">
            <v>9</v>
          </cell>
        </row>
        <row r="1116">
          <cell r="AC1116">
            <v>83</v>
          </cell>
        </row>
        <row r="1117">
          <cell r="AC1117">
            <v>382.5</v>
          </cell>
        </row>
        <row r="1118">
          <cell r="AC1118">
            <v>-1130</v>
          </cell>
        </row>
        <row r="1119">
          <cell r="AC1119">
            <v>4180</v>
          </cell>
        </row>
        <row r="1120">
          <cell r="AC1120">
            <v>1130</v>
          </cell>
        </row>
        <row r="1121">
          <cell r="AC1121">
            <v>2820</v>
          </cell>
        </row>
        <row r="1122">
          <cell r="AC1122">
            <v>-3</v>
          </cell>
        </row>
        <row r="1123">
          <cell r="AC1123">
            <v>-3</v>
          </cell>
        </row>
        <row r="1124">
          <cell r="AC1124">
            <v>-33</v>
          </cell>
        </row>
        <row r="1125">
          <cell r="AC1125">
            <v>-56.5</v>
          </cell>
        </row>
        <row r="1126">
          <cell r="AC1126">
            <v>1</v>
          </cell>
        </row>
        <row r="1127">
          <cell r="AC1127">
            <v>1</v>
          </cell>
        </row>
        <row r="1128">
          <cell r="AC1128">
            <v>1</v>
          </cell>
        </row>
        <row r="1129">
          <cell r="AC1129">
            <v>6</v>
          </cell>
        </row>
        <row r="1130">
          <cell r="AC1130">
            <v>5</v>
          </cell>
        </row>
        <row r="1131">
          <cell r="AC1131">
            <v>5</v>
          </cell>
        </row>
        <row r="1132">
          <cell r="AC1132">
            <v>17</v>
          </cell>
        </row>
        <row r="1133">
          <cell r="AC1133">
            <v>3</v>
          </cell>
        </row>
        <row r="1134">
          <cell r="AC1134">
            <v>4</v>
          </cell>
        </row>
        <row r="1135">
          <cell r="AC1135">
            <v>35</v>
          </cell>
        </row>
        <row r="1136">
          <cell r="AC1136">
            <v>56.5</v>
          </cell>
        </row>
        <row r="1137">
          <cell r="AC1137">
            <v>2</v>
          </cell>
        </row>
        <row r="1138">
          <cell r="AC1138">
            <v>1</v>
          </cell>
        </row>
        <row r="1139">
          <cell r="AC1139">
            <v>6</v>
          </cell>
        </row>
        <row r="1140">
          <cell r="AC1140">
            <v>7</v>
          </cell>
        </row>
        <row r="1141">
          <cell r="AC1141">
            <v>66</v>
          </cell>
        </row>
        <row r="1142">
          <cell r="AC1142">
            <v>141</v>
          </cell>
        </row>
        <row r="1143">
          <cell r="AC1143">
            <v>3</v>
          </cell>
        </row>
        <row r="1144">
          <cell r="AC1144">
            <v>4</v>
          </cell>
        </row>
        <row r="1145">
          <cell r="AC1145">
            <v>33</v>
          </cell>
        </row>
        <row r="1146">
          <cell r="AC1146">
            <v>209</v>
          </cell>
        </row>
        <row r="1147">
          <cell r="AC1147">
            <v>7</v>
          </cell>
        </row>
        <row r="1148">
          <cell r="AC1148">
            <v>4</v>
          </cell>
        </row>
        <row r="1149">
          <cell r="AC1149">
            <v>2</v>
          </cell>
        </row>
        <row r="1150">
          <cell r="AC1150">
            <v>4</v>
          </cell>
        </row>
        <row r="1151">
          <cell r="AC1151">
            <v>1</v>
          </cell>
        </row>
        <row r="1152">
          <cell r="AC1152">
            <v>1</v>
          </cell>
        </row>
        <row r="1153">
          <cell r="AC1153">
            <v>1</v>
          </cell>
        </row>
        <row r="1154">
          <cell r="AC1154">
            <v>10720</v>
          </cell>
        </row>
        <row r="1155">
          <cell r="AC1155">
            <v>5000</v>
          </cell>
        </row>
        <row r="1156">
          <cell r="AC1156">
            <v>17730</v>
          </cell>
        </row>
        <row r="1157">
          <cell r="AC1157">
            <v>8704</v>
          </cell>
        </row>
        <row r="1158">
          <cell r="AC1158">
            <v>1730</v>
          </cell>
        </row>
        <row r="1159">
          <cell r="AC1159">
            <v>1125</v>
          </cell>
        </row>
        <row r="1160">
          <cell r="AC1160">
            <v>23220</v>
          </cell>
        </row>
        <row r="1161">
          <cell r="AC1161">
            <v>14160</v>
          </cell>
        </row>
        <row r="1162">
          <cell r="AC1162">
            <v>708</v>
          </cell>
        </row>
        <row r="1163">
          <cell r="AC1163">
            <v>1055</v>
          </cell>
        </row>
        <row r="1164">
          <cell r="AC1164">
            <v>4936</v>
          </cell>
        </row>
        <row r="1165">
          <cell r="AC1165">
            <v>8657</v>
          </cell>
        </row>
        <row r="1166">
          <cell r="AC1166">
            <v>14360</v>
          </cell>
        </row>
        <row r="1167">
          <cell r="AC1167">
            <v>18800</v>
          </cell>
        </row>
        <row r="1168">
          <cell r="AC1168">
            <v>8490</v>
          </cell>
        </row>
        <row r="1169">
          <cell r="AC1169">
            <v>2680</v>
          </cell>
        </row>
        <row r="1170">
          <cell r="AC1170">
            <v>30960</v>
          </cell>
        </row>
        <row r="1171">
          <cell r="AC1171">
            <v>4880</v>
          </cell>
        </row>
        <row r="1172">
          <cell r="AC1172">
            <v>9720</v>
          </cell>
        </row>
        <row r="1173">
          <cell r="AC1173">
            <v>10000</v>
          </cell>
        </row>
        <row r="1174">
          <cell r="AC1174">
            <v>69740</v>
          </cell>
        </row>
        <row r="1175">
          <cell r="AC1175">
            <v>6330</v>
          </cell>
        </row>
        <row r="1176">
          <cell r="AC1176">
            <v>6810</v>
          </cell>
        </row>
        <row r="1177">
          <cell r="AC1177">
            <v>7290</v>
          </cell>
        </row>
        <row r="1178">
          <cell r="AC1178">
            <v>26500</v>
          </cell>
        </row>
        <row r="1179">
          <cell r="AC1179">
            <v>76230</v>
          </cell>
        </row>
        <row r="1180">
          <cell r="AC1180">
            <v>35050</v>
          </cell>
        </row>
        <row r="1181">
          <cell r="AC1181">
            <v>52380</v>
          </cell>
        </row>
        <row r="1182">
          <cell r="AC1182">
            <v>7740</v>
          </cell>
        </row>
        <row r="1183">
          <cell r="AC1183">
            <v>35140</v>
          </cell>
        </row>
        <row r="1184">
          <cell r="AC1184">
            <v>1840</v>
          </cell>
        </row>
        <row r="1185">
          <cell r="AC1185">
            <v>7803</v>
          </cell>
        </row>
        <row r="1186">
          <cell r="AC1186">
            <v>2383</v>
          </cell>
        </row>
        <row r="1187">
          <cell r="AC1187">
            <v>1550</v>
          </cell>
        </row>
        <row r="1188">
          <cell r="AC1188">
            <v>18100</v>
          </cell>
        </row>
        <row r="1189">
          <cell r="AC1189">
            <v>38250</v>
          </cell>
        </row>
        <row r="1190">
          <cell r="AC1190">
            <v>12450</v>
          </cell>
        </row>
        <row r="1191">
          <cell r="AC1191">
            <v>67948</v>
          </cell>
        </row>
        <row r="1192">
          <cell r="AC1192">
            <v>84378</v>
          </cell>
        </row>
        <row r="1193">
          <cell r="AC1193">
            <v>15894.52</v>
          </cell>
        </row>
        <row r="1194">
          <cell r="AC1194">
            <v>134</v>
          </cell>
        </row>
        <row r="1195">
          <cell r="AC1195">
            <v>424.5</v>
          </cell>
        </row>
        <row r="1196">
          <cell r="AC1196">
            <v>9</v>
          </cell>
        </row>
        <row r="1197">
          <cell r="AC1197">
            <v>12</v>
          </cell>
        </row>
        <row r="1198">
          <cell r="AC1198">
            <v>109</v>
          </cell>
        </row>
        <row r="1199">
          <cell r="AC1199">
            <v>536</v>
          </cell>
        </row>
        <row r="1200">
          <cell r="AC1200">
            <v>4</v>
          </cell>
        </row>
        <row r="1201">
          <cell r="AC1201">
            <v>6.7</v>
          </cell>
        </row>
        <row r="1202">
          <cell r="AC1202">
            <v>399</v>
          </cell>
        </row>
        <row r="1203">
          <cell r="AC1203">
            <v>1752.5</v>
          </cell>
        </row>
        <row r="1204">
          <cell r="AC1204">
            <v>25</v>
          </cell>
        </row>
        <row r="1205">
          <cell r="AC1205">
            <v>33</v>
          </cell>
        </row>
        <row r="1206">
          <cell r="AC1206">
            <v>299</v>
          </cell>
        </row>
        <row r="1207">
          <cell r="AC1207">
            <v>886.5</v>
          </cell>
        </row>
        <row r="1208">
          <cell r="AC1208">
            <v>21</v>
          </cell>
        </row>
        <row r="1209">
          <cell r="AC1209">
            <v>26</v>
          </cell>
        </row>
        <row r="1210">
          <cell r="AC1210">
            <v>247</v>
          </cell>
        </row>
        <row r="1211">
          <cell r="AC1211">
            <v>435.2</v>
          </cell>
        </row>
        <row r="1212">
          <cell r="AC1212">
            <v>2</v>
          </cell>
        </row>
        <row r="1213">
          <cell r="AC1213">
            <v>2</v>
          </cell>
        </row>
        <row r="1214">
          <cell r="AC1214">
            <v>18</v>
          </cell>
        </row>
        <row r="1215">
          <cell r="AC1215">
            <v>86.5</v>
          </cell>
        </row>
        <row r="1216">
          <cell r="AC1216">
            <v>2</v>
          </cell>
        </row>
        <row r="1217">
          <cell r="AC1217">
            <v>2</v>
          </cell>
        </row>
        <row r="1218">
          <cell r="AC1218">
            <v>18</v>
          </cell>
        </row>
        <row r="1219">
          <cell r="AC1219">
            <v>56.25</v>
          </cell>
        </row>
        <row r="1220">
          <cell r="AC1220">
            <v>19</v>
          </cell>
        </row>
        <row r="1221">
          <cell r="AC1221">
            <v>23</v>
          </cell>
        </row>
        <row r="1222">
          <cell r="AC1222">
            <v>218</v>
          </cell>
        </row>
        <row r="1223">
          <cell r="AC1223">
            <v>1161</v>
          </cell>
        </row>
        <row r="1224">
          <cell r="AC1224">
            <v>12</v>
          </cell>
        </row>
        <row r="1225">
          <cell r="AC1225">
            <v>16</v>
          </cell>
        </row>
        <row r="1226">
          <cell r="AC1226">
            <v>146</v>
          </cell>
        </row>
        <row r="1227">
          <cell r="AC1227">
            <v>708</v>
          </cell>
        </row>
        <row r="1228">
          <cell r="AC1228">
            <v>8</v>
          </cell>
        </row>
        <row r="1229">
          <cell r="AC1229">
            <v>35.4</v>
          </cell>
        </row>
        <row r="1230">
          <cell r="AC1230">
            <v>2</v>
          </cell>
        </row>
        <row r="1231">
          <cell r="AC1231">
            <v>2</v>
          </cell>
        </row>
        <row r="1232">
          <cell r="AC1232">
            <v>18</v>
          </cell>
        </row>
        <row r="1233">
          <cell r="AC1233">
            <v>52.75</v>
          </cell>
        </row>
        <row r="1234">
          <cell r="AC1234">
            <v>58</v>
          </cell>
        </row>
        <row r="1235">
          <cell r="AC1235">
            <v>246.8</v>
          </cell>
        </row>
        <row r="1236">
          <cell r="AC1236">
            <v>6</v>
          </cell>
        </row>
        <row r="1237">
          <cell r="AC1237">
            <v>6</v>
          </cell>
        </row>
        <row r="1238">
          <cell r="AC1238">
            <v>12</v>
          </cell>
        </row>
        <row r="1239">
          <cell r="AC1239">
            <v>12</v>
          </cell>
        </row>
        <row r="1240">
          <cell r="AC1240">
            <v>140</v>
          </cell>
        </row>
        <row r="1241">
          <cell r="AC1241">
            <v>432.85</v>
          </cell>
        </row>
        <row r="1242">
          <cell r="AC1242">
            <v>12</v>
          </cell>
        </row>
        <row r="1243">
          <cell r="AC1243">
            <v>16</v>
          </cell>
        </row>
        <row r="1244">
          <cell r="AC1244">
            <v>145</v>
          </cell>
        </row>
        <row r="1245">
          <cell r="AC1245">
            <v>718</v>
          </cell>
        </row>
        <row r="1246">
          <cell r="AC1246">
            <v>25</v>
          </cell>
        </row>
        <row r="1247">
          <cell r="AC1247">
            <v>31</v>
          </cell>
        </row>
        <row r="1248">
          <cell r="AC1248">
            <v>291</v>
          </cell>
        </row>
        <row r="1249">
          <cell r="AC1249">
            <v>940</v>
          </cell>
        </row>
        <row r="1250">
          <cell r="AC1250">
            <v>9</v>
          </cell>
        </row>
        <row r="1251">
          <cell r="AC1251">
            <v>12</v>
          </cell>
        </row>
        <row r="1252">
          <cell r="AC1252">
            <v>109</v>
          </cell>
        </row>
        <row r="1253">
          <cell r="AC1253">
            <v>435</v>
          </cell>
        </row>
        <row r="1254">
          <cell r="AC1254">
            <v>794.73</v>
          </cell>
        </row>
        <row r="1255">
          <cell r="AC1255">
            <v>12</v>
          </cell>
        </row>
        <row r="1256">
          <cell r="AC1256">
            <v>16</v>
          </cell>
        </row>
        <row r="1257">
          <cell r="AC1257">
            <v>145</v>
          </cell>
        </row>
        <row r="1258">
          <cell r="AC1258">
            <v>250</v>
          </cell>
        </row>
        <row r="1259">
          <cell r="AC1259">
            <v>6</v>
          </cell>
        </row>
        <row r="1260">
          <cell r="AC1260">
            <v>8</v>
          </cell>
        </row>
        <row r="1261">
          <cell r="AC1261">
            <v>73</v>
          </cell>
        </row>
        <row r="1262">
          <cell r="AC1262">
            <v>134</v>
          </cell>
        </row>
        <row r="1263">
          <cell r="AC1263">
            <v>24</v>
          </cell>
        </row>
        <row r="1264">
          <cell r="AC1264">
            <v>32</v>
          </cell>
        </row>
        <row r="1265">
          <cell r="AC1265">
            <v>290</v>
          </cell>
        </row>
        <row r="1266">
          <cell r="AC1266">
            <v>1548</v>
          </cell>
        </row>
        <row r="1267">
          <cell r="AC1267">
            <v>12</v>
          </cell>
        </row>
        <row r="1268">
          <cell r="AC1268">
            <v>16</v>
          </cell>
        </row>
        <row r="1269">
          <cell r="AC1269">
            <v>145</v>
          </cell>
        </row>
        <row r="1270">
          <cell r="AC1270">
            <v>244</v>
          </cell>
        </row>
        <row r="1271">
          <cell r="AC1271">
            <v>12</v>
          </cell>
        </row>
        <row r="1272">
          <cell r="AC1272">
            <v>16</v>
          </cell>
        </row>
        <row r="1273">
          <cell r="AC1273">
            <v>145</v>
          </cell>
        </row>
        <row r="1274">
          <cell r="AC1274">
            <v>486</v>
          </cell>
        </row>
        <row r="1275">
          <cell r="AC1275">
            <v>12</v>
          </cell>
        </row>
        <row r="1276">
          <cell r="AC1276">
            <v>16</v>
          </cell>
        </row>
        <row r="1277">
          <cell r="AC1277">
            <v>145</v>
          </cell>
        </row>
        <row r="1278">
          <cell r="AC1278">
            <v>500</v>
          </cell>
        </row>
        <row r="1279">
          <cell r="AC1279">
            <v>87</v>
          </cell>
        </row>
        <row r="1280">
          <cell r="AC1280">
            <v>115</v>
          </cell>
        </row>
        <row r="1281">
          <cell r="AC1281">
            <v>1052</v>
          </cell>
        </row>
        <row r="1282">
          <cell r="AC1282">
            <v>3487</v>
          </cell>
        </row>
        <row r="1283">
          <cell r="AC1283">
            <v>9</v>
          </cell>
        </row>
        <row r="1284">
          <cell r="AC1284">
            <v>12</v>
          </cell>
        </row>
        <row r="1285">
          <cell r="AC1285">
            <v>109</v>
          </cell>
        </row>
        <row r="1286">
          <cell r="AC1286">
            <v>316.5</v>
          </cell>
        </row>
        <row r="1287">
          <cell r="AC1287">
            <v>9</v>
          </cell>
        </row>
        <row r="1288">
          <cell r="AC1288">
            <v>12</v>
          </cell>
        </row>
        <row r="1289">
          <cell r="AC1289">
            <v>109</v>
          </cell>
        </row>
        <row r="1290">
          <cell r="AC1290">
            <v>340.5</v>
          </cell>
        </row>
        <row r="1291">
          <cell r="AC1291">
            <v>9</v>
          </cell>
        </row>
        <row r="1292">
          <cell r="AC1292">
            <v>12</v>
          </cell>
        </row>
        <row r="1293">
          <cell r="AC1293">
            <v>109</v>
          </cell>
        </row>
        <row r="1294">
          <cell r="AC1294">
            <v>364.5</v>
          </cell>
        </row>
        <row r="1295">
          <cell r="AC1295">
            <v>36</v>
          </cell>
        </row>
        <row r="1296">
          <cell r="AC1296">
            <v>48</v>
          </cell>
        </row>
        <row r="1297">
          <cell r="AC1297">
            <v>435</v>
          </cell>
        </row>
        <row r="1298">
          <cell r="AC1298">
            <v>1325</v>
          </cell>
        </row>
        <row r="1299">
          <cell r="AC1299">
            <v>95</v>
          </cell>
        </row>
        <row r="1300">
          <cell r="AC1300">
            <v>122</v>
          </cell>
        </row>
        <row r="1301">
          <cell r="AC1301">
            <v>1126</v>
          </cell>
        </row>
        <row r="1302">
          <cell r="AC1302">
            <v>3811.5</v>
          </cell>
        </row>
        <row r="1303">
          <cell r="AC1303">
            <v>33</v>
          </cell>
        </row>
        <row r="1304">
          <cell r="AC1304">
            <v>44</v>
          </cell>
        </row>
        <row r="1305">
          <cell r="AC1305">
            <v>54</v>
          </cell>
        </row>
        <row r="1306">
          <cell r="AC1306">
            <v>72</v>
          </cell>
        </row>
        <row r="1307">
          <cell r="AC1307">
            <v>653</v>
          </cell>
        </row>
        <row r="1308">
          <cell r="AC1308">
            <v>2619</v>
          </cell>
        </row>
        <row r="1309">
          <cell r="AC1309">
            <v>10</v>
          </cell>
        </row>
        <row r="1310">
          <cell r="AC1310">
            <v>12</v>
          </cell>
        </row>
        <row r="1311">
          <cell r="AC1311">
            <v>109</v>
          </cell>
        </row>
        <row r="1312">
          <cell r="AC1312">
            <v>387</v>
          </cell>
        </row>
        <row r="1313">
          <cell r="AC1313">
            <v>43</v>
          </cell>
        </row>
        <row r="1314">
          <cell r="AC1314">
            <v>55</v>
          </cell>
        </row>
        <row r="1315">
          <cell r="AC1315">
            <v>508</v>
          </cell>
        </row>
        <row r="1316">
          <cell r="AC1316">
            <v>1757</v>
          </cell>
        </row>
        <row r="1317">
          <cell r="AC1317">
            <v>1</v>
          </cell>
        </row>
        <row r="1318">
          <cell r="AC1318">
            <v>2</v>
          </cell>
        </row>
        <row r="1319">
          <cell r="AC1319">
            <v>15</v>
          </cell>
        </row>
        <row r="1320">
          <cell r="AC1320">
            <v>92</v>
          </cell>
        </row>
        <row r="1321">
          <cell r="AC1321">
            <v>9</v>
          </cell>
        </row>
        <row r="1322">
          <cell r="AC1322">
            <v>10</v>
          </cell>
        </row>
        <row r="1323">
          <cell r="AC1323">
            <v>94</v>
          </cell>
        </row>
        <row r="1324">
          <cell r="AC1324">
            <v>390.15</v>
          </cell>
        </row>
        <row r="1325">
          <cell r="AC1325">
            <v>3</v>
          </cell>
        </row>
        <row r="1326">
          <cell r="AC1326">
            <v>3</v>
          </cell>
        </row>
        <row r="1327">
          <cell r="AC1327">
            <v>29</v>
          </cell>
        </row>
        <row r="1328">
          <cell r="AC1328">
            <v>119.15</v>
          </cell>
        </row>
        <row r="1329">
          <cell r="AC1329">
            <v>3</v>
          </cell>
        </row>
        <row r="1330">
          <cell r="AC1330">
            <v>4</v>
          </cell>
        </row>
        <row r="1331">
          <cell r="AC1331">
            <v>36</v>
          </cell>
        </row>
        <row r="1332">
          <cell r="AC1332">
            <v>77.5</v>
          </cell>
        </row>
        <row r="1333">
          <cell r="AC1333">
            <v>15</v>
          </cell>
        </row>
        <row r="1334">
          <cell r="AC1334">
            <v>19</v>
          </cell>
        </row>
        <row r="1335">
          <cell r="AC1335">
            <v>182</v>
          </cell>
        </row>
        <row r="1336">
          <cell r="AC1336">
            <v>905</v>
          </cell>
        </row>
        <row r="1337">
          <cell r="AC1337">
            <v>36</v>
          </cell>
        </row>
        <row r="1338">
          <cell r="AC1338">
            <v>48</v>
          </cell>
        </row>
        <row r="1339">
          <cell r="AC1339">
            <v>436</v>
          </cell>
        </row>
        <row r="1340">
          <cell r="AC1340">
            <v>1912.5</v>
          </cell>
        </row>
        <row r="1341">
          <cell r="AC1341">
            <v>15</v>
          </cell>
        </row>
        <row r="1342">
          <cell r="AC1342">
            <v>19</v>
          </cell>
        </row>
        <row r="1343">
          <cell r="AC1343">
            <v>182</v>
          </cell>
        </row>
        <row r="1344">
          <cell r="AC1344">
            <v>622.5</v>
          </cell>
        </row>
        <row r="1345">
          <cell r="AC1345">
            <v>106</v>
          </cell>
        </row>
        <row r="1346">
          <cell r="AC1346">
            <v>131</v>
          </cell>
        </row>
        <row r="1347">
          <cell r="AC1347">
            <v>1237</v>
          </cell>
        </row>
        <row r="1348">
          <cell r="AC1348">
            <v>3397.4</v>
          </cell>
        </row>
        <row r="1349">
          <cell r="AC1349">
            <v>97</v>
          </cell>
        </row>
        <row r="1350">
          <cell r="AC1350">
            <v>122</v>
          </cell>
        </row>
        <row r="1351">
          <cell r="AC1351">
            <v>1136</v>
          </cell>
        </row>
        <row r="1352">
          <cell r="AC1352">
            <v>4218.9</v>
          </cell>
        </row>
        <row r="1353">
          <cell r="AC1353">
            <v>36</v>
          </cell>
        </row>
        <row r="1354">
          <cell r="AC1354">
            <v>47</v>
          </cell>
        </row>
      </sheetData>
      <sheetData sheetId="6">
        <row r="13">
          <cell r="AB13">
            <v>0.9123</v>
          </cell>
          <cell r="AC13">
            <v>0.917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0"/>
  <sheetViews>
    <sheetView tabSelected="1" zoomScale="85" zoomScaleNormal="85" workbookViewId="0">
      <selection activeCell="J26" sqref="J26"/>
    </sheetView>
  </sheetViews>
  <sheetFormatPr defaultColWidth="9.4" defaultRowHeight="14.5"/>
  <cols>
    <col min="1" max="1" width="1.8" style="1" customWidth="1"/>
    <col min="2" max="2" width="22.2" style="1" customWidth="1"/>
    <col min="3" max="3" width="70.6" style="1" customWidth="1"/>
    <col min="4" max="5" width="15.7" style="1" customWidth="1"/>
    <col min="6" max="6" width="15.4" style="1" customWidth="1"/>
    <col min="7" max="7" width="14" style="1" customWidth="1"/>
    <col min="8" max="8" width="12.6" style="1" customWidth="1"/>
    <col min="9" max="9" width="17.5" style="1" customWidth="1"/>
    <col min="10" max="10" width="15.5" style="1" customWidth="1"/>
    <col min="11" max="11" width="2.2" style="1" customWidth="1"/>
    <col min="12" max="12" width="14.9" style="1" customWidth="1"/>
    <col min="13" max="13" width="16.2" style="1" customWidth="1"/>
    <col min="14" max="14" width="16.1" style="1" customWidth="1"/>
    <col min="15" max="15" width="13.1" style="1" customWidth="1"/>
    <col min="16" max="16384" width="9.4" style="1"/>
  </cols>
  <sheetData>
    <row r="1" s="1" customFormat="1" ht="21" spans="1:14">
      <c r="A1" s="3"/>
      <c r="B1" s="4" t="s">
        <v>0</v>
      </c>
      <c r="C1" s="4" t="s">
        <v>1</v>
      </c>
      <c r="D1" s="3"/>
      <c r="E1" s="3"/>
      <c r="F1" s="3"/>
      <c r="G1" s="3"/>
      <c r="H1" s="3"/>
      <c r="I1" s="3"/>
      <c r="J1" s="3"/>
      <c r="K1" s="3"/>
      <c r="L1" s="14">
        <f>[2]RMB汇率!AB13</f>
        <v>0.9123</v>
      </c>
      <c r="M1" s="14">
        <f>[2]RMB汇率!AC13</f>
        <v>0.917</v>
      </c>
      <c r="N1" s="3"/>
    </row>
    <row r="2" s="1" customFormat="1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 t="s">
        <v>2</v>
      </c>
      <c r="M2" s="3" t="s">
        <v>3</v>
      </c>
      <c r="N2" s="3"/>
    </row>
    <row r="3" s="1" customFormat="1" spans="1:14">
      <c r="A3" s="5"/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11</v>
      </c>
      <c r="K3" s="5"/>
      <c r="L3" s="3"/>
      <c r="M3" s="3"/>
      <c r="N3" s="3"/>
    </row>
    <row r="4" s="1" customFormat="1" spans="1:14">
      <c r="A4" s="5"/>
      <c r="B4" s="5"/>
      <c r="C4" s="5"/>
      <c r="D4" s="5"/>
      <c r="E4" s="5"/>
      <c r="F4" s="5" t="s">
        <v>12</v>
      </c>
      <c r="G4" s="5" t="s">
        <v>12</v>
      </c>
      <c r="H4" s="5" t="s">
        <v>12</v>
      </c>
      <c r="I4" s="5" t="s">
        <v>12</v>
      </c>
      <c r="J4" s="5" t="s">
        <v>13</v>
      </c>
      <c r="K4" s="5"/>
      <c r="L4" s="3"/>
      <c r="M4" s="3"/>
      <c r="N4" s="3"/>
    </row>
    <row r="5" s="1" customFormat="1" spans="1:14">
      <c r="A5" s="5"/>
      <c r="B5" s="3" t="s">
        <v>14</v>
      </c>
      <c r="C5" s="3" t="str">
        <f>VLOOKUP(B5,[1]ERP項目列表!B:C,2,0)</f>
        <v>2024年大数据智能化应用研发项目</v>
      </c>
      <c r="D5" s="3">
        <v>2024</v>
      </c>
      <c r="E5" s="3" t="s">
        <v>15</v>
      </c>
      <c r="F5" s="6"/>
      <c r="G5" s="6"/>
      <c r="H5" s="6">
        <v>-17522</v>
      </c>
      <c r="I5" s="15">
        <f t="shared" ref="I5:I9" si="0">SUM(F5:H5)</f>
        <v>-17522</v>
      </c>
      <c r="J5" s="15">
        <f>I5*$M$1</f>
        <v>-16067.674</v>
      </c>
      <c r="K5" s="16"/>
      <c r="L5" s="3"/>
      <c r="M5" s="3"/>
      <c r="N5" s="3"/>
    </row>
    <row r="6" s="1" customFormat="1" spans="1:14">
      <c r="A6" s="5"/>
      <c r="B6" s="3" t="s">
        <v>16</v>
      </c>
      <c r="C6" s="3" t="s">
        <v>17</v>
      </c>
      <c r="D6" s="3">
        <v>2024</v>
      </c>
      <c r="E6" s="3" t="s">
        <v>18</v>
      </c>
      <c r="F6" s="6">
        <v>333000</v>
      </c>
      <c r="G6" s="6"/>
      <c r="H6" s="6"/>
      <c r="I6" s="15">
        <f t="shared" si="0"/>
        <v>333000</v>
      </c>
      <c r="J6" s="15">
        <f>I6*$L$1</f>
        <v>303795.9</v>
      </c>
      <c r="K6" s="16"/>
      <c r="L6" s="3"/>
      <c r="M6" s="3"/>
      <c r="N6" s="3"/>
    </row>
    <row r="7" s="1" customFormat="1" spans="1:14">
      <c r="A7" s="5"/>
      <c r="B7" s="3" t="s">
        <v>19</v>
      </c>
      <c r="C7" s="3" t="str">
        <f>VLOOKUP(B7,[1]ERP項目列表!B:C,2,0)</f>
        <v>2024年BOSS系统开发项目</v>
      </c>
      <c r="D7" s="3">
        <v>2024</v>
      </c>
      <c r="E7" s="3" t="s">
        <v>18</v>
      </c>
      <c r="F7" s="7">
        <v>4974864.96</v>
      </c>
      <c r="G7" s="6"/>
      <c r="H7" s="6"/>
      <c r="I7" s="15">
        <f t="shared" si="0"/>
        <v>4974864.96</v>
      </c>
      <c r="J7" s="15">
        <f>I7*$L$1</f>
        <v>4538569.303008</v>
      </c>
      <c r="K7" s="16"/>
      <c r="L7" s="3"/>
      <c r="M7" s="3"/>
      <c r="N7" s="3"/>
    </row>
    <row r="8" s="2" customFormat="1" spans="1:15">
      <c r="A8" s="8"/>
      <c r="B8" s="9" t="s">
        <v>20</v>
      </c>
      <c r="C8" s="9" t="str">
        <f>VLOOKUP(B8,[1]ERP項目列表!B:C,2,0)</f>
        <v>2024年数智工程一体化平台研发项目</v>
      </c>
      <c r="D8" s="9">
        <v>2024</v>
      </c>
      <c r="E8" s="9" t="s">
        <v>18</v>
      </c>
      <c r="F8" s="7">
        <v>1476346.368</v>
      </c>
      <c r="G8" s="7"/>
      <c r="H8" s="7"/>
      <c r="I8" s="15">
        <f t="shared" si="0"/>
        <v>1476346.368</v>
      </c>
      <c r="J8" s="17">
        <f>I8*$L$1</f>
        <v>1346870.7915264</v>
      </c>
      <c r="K8" s="18"/>
      <c r="L8" s="9"/>
      <c r="M8" s="9"/>
      <c r="N8" s="3"/>
      <c r="O8" s="19"/>
    </row>
    <row r="9" s="2" customFormat="1" spans="1:14">
      <c r="A9" s="8"/>
      <c r="B9" s="9" t="s">
        <v>21</v>
      </c>
      <c r="C9" s="9" t="s">
        <v>22</v>
      </c>
      <c r="D9" s="9">
        <v>2025</v>
      </c>
      <c r="E9" s="9" t="s">
        <v>15</v>
      </c>
      <c r="F9" s="7">
        <v>2045905</v>
      </c>
      <c r="G9" s="10">
        <v>406316.1</v>
      </c>
      <c r="H9" s="3"/>
      <c r="I9" s="15">
        <f t="shared" si="0"/>
        <v>2452221.1</v>
      </c>
      <c r="J9" s="17">
        <f>I9*$M$1</f>
        <v>2248686.7487</v>
      </c>
      <c r="K9" s="18"/>
      <c r="L9" s="9"/>
      <c r="M9" s="9"/>
      <c r="N9" s="3"/>
    </row>
    <row r="10" s="2" customFormat="1" ht="15.5" spans="1:14">
      <c r="A10" s="8"/>
      <c r="B10" s="9" t="s">
        <v>23</v>
      </c>
      <c r="C10" s="9" t="str">
        <f>VLOOKUP(B10,[1]ERP項目列表!B:C,2,0)</f>
        <v>2025年人工智能赋能网络能力研发</v>
      </c>
      <c r="D10" s="9">
        <v>2025</v>
      </c>
      <c r="E10" s="9" t="s">
        <v>15</v>
      </c>
      <c r="F10" s="7">
        <v>100000</v>
      </c>
      <c r="G10" s="10">
        <v>1391069.78</v>
      </c>
      <c r="H10" s="3"/>
      <c r="I10" s="15">
        <f>SUM(F10:G10)</f>
        <v>1491069.78</v>
      </c>
      <c r="J10" s="17">
        <f>I10*$M$1</f>
        <v>1367310.98826</v>
      </c>
      <c r="K10" s="18"/>
      <c r="L10" s="20">
        <f>J10-J11-J12</f>
        <v>0</v>
      </c>
      <c r="M10" s="20">
        <f>I10-I11-I12</f>
        <v>0</v>
      </c>
      <c r="N10" s="3"/>
    </row>
    <row r="11" s="1" customFormat="1" ht="15.5" spans="1:14">
      <c r="A11" s="5"/>
      <c r="B11" s="3"/>
      <c r="C11" s="11" t="s">
        <v>24</v>
      </c>
      <c r="D11" s="3"/>
      <c r="E11" s="3"/>
      <c r="F11" s="7">
        <v>100000</v>
      </c>
      <c r="G11" s="12">
        <v>544716.68</v>
      </c>
      <c r="H11" s="3"/>
      <c r="I11" s="15">
        <f>SUM(F11:G11)</f>
        <v>644716.68</v>
      </c>
      <c r="J11" s="15">
        <f>I11*$M$1</f>
        <v>591205.19556</v>
      </c>
      <c r="K11" s="16"/>
      <c r="L11" s="3"/>
      <c r="M11" s="3"/>
      <c r="N11" s="3"/>
    </row>
    <row r="12" s="1" customFormat="1" ht="15.5" spans="1:14">
      <c r="A12" s="5"/>
      <c r="B12" s="3"/>
      <c r="C12" s="11" t="s">
        <v>25</v>
      </c>
      <c r="D12" s="3"/>
      <c r="E12" s="3"/>
      <c r="F12" s="7"/>
      <c r="G12" s="13">
        <v>846353.1</v>
      </c>
      <c r="H12" s="3"/>
      <c r="I12" s="15">
        <f t="shared" ref="I12:I16" si="1">SUM(F12:H12)</f>
        <v>846353.1</v>
      </c>
      <c r="J12" s="15">
        <f>I12*$M$1</f>
        <v>776105.7927</v>
      </c>
      <c r="K12" s="16"/>
      <c r="L12" s="3"/>
      <c r="M12" s="3"/>
      <c r="N12" s="3"/>
    </row>
    <row r="13" s="1" customFormat="1" spans="1:14">
      <c r="A13" s="5"/>
      <c r="B13" s="3" t="s">
        <v>26</v>
      </c>
      <c r="C13" s="3" t="str">
        <f>VLOOKUP(B13,[1]ERP項目列表!B:C,2,0)</f>
        <v>2025年算力资源研究</v>
      </c>
      <c r="D13" s="3">
        <v>2025</v>
      </c>
      <c r="E13" s="3" t="s">
        <v>15</v>
      </c>
      <c r="F13" s="7"/>
      <c r="G13" s="10">
        <v>776865.01</v>
      </c>
      <c r="H13" s="3"/>
      <c r="I13" s="15">
        <f t="shared" si="1"/>
        <v>776865.01</v>
      </c>
      <c r="J13" s="15">
        <f>I13*$M$1</f>
        <v>712385.21417</v>
      </c>
      <c r="K13" s="16"/>
      <c r="L13" s="3"/>
      <c r="M13" s="3"/>
      <c r="N13" s="3"/>
    </row>
    <row r="14" s="1" customFormat="1" spans="1:14">
      <c r="A14" s="5"/>
      <c r="B14" s="3" t="s">
        <v>27</v>
      </c>
      <c r="C14" s="3" t="str">
        <f>VLOOKUP(B14,[1]ERP項目列表!B:C,2,0)</f>
        <v>2025年安防和信创研发</v>
      </c>
      <c r="D14" s="3">
        <v>2025</v>
      </c>
      <c r="E14" s="3" t="s">
        <v>15</v>
      </c>
      <c r="F14" s="7"/>
      <c r="G14" s="10">
        <v>1014931.7</v>
      </c>
      <c r="H14" s="3"/>
      <c r="I14" s="15">
        <f t="shared" si="1"/>
        <v>1014931.7</v>
      </c>
      <c r="J14" s="15">
        <f>I14*$M$1</f>
        <v>930692.3689</v>
      </c>
      <c r="K14" s="16"/>
      <c r="L14" s="3"/>
      <c r="M14" s="3"/>
      <c r="N14" s="3"/>
    </row>
    <row r="15" s="1" customFormat="1" spans="1:14">
      <c r="A15" s="5"/>
      <c r="B15" s="3" t="s">
        <v>28</v>
      </c>
      <c r="C15" s="3" t="str">
        <f>VLOOKUP(B15,[1]ERP項目列表!B:C,2,0)</f>
        <v>2026-2030年网络发展规划研究</v>
      </c>
      <c r="D15" s="3">
        <v>2025</v>
      </c>
      <c r="E15" s="3" t="s">
        <v>15</v>
      </c>
      <c r="F15" s="7">
        <v>1254575.0016</v>
      </c>
      <c r="G15" s="10">
        <v>566305.05</v>
      </c>
      <c r="H15" s="3"/>
      <c r="I15" s="15">
        <f t="shared" si="1"/>
        <v>1820880.0516</v>
      </c>
      <c r="J15" s="15">
        <f>I15*$M$1</f>
        <v>1669747.0073172</v>
      </c>
      <c r="K15" s="16"/>
      <c r="L15" s="3"/>
      <c r="M15" s="3"/>
      <c r="N15" s="3"/>
    </row>
    <row r="16" s="1" customFormat="1" spans="1:14">
      <c r="A16" s="5"/>
      <c r="B16" s="3" t="s">
        <v>29</v>
      </c>
      <c r="C16" s="3" t="str">
        <f>VLOOKUP(B16,[1]ERP項目列表!B:C,2,0)</f>
        <v>基于无人设备的海域通信测试研究项目</v>
      </c>
      <c r="D16" s="3">
        <v>2025</v>
      </c>
      <c r="E16" s="3" t="s">
        <v>15</v>
      </c>
      <c r="F16" s="2"/>
      <c r="G16" s="10">
        <v>283067.5</v>
      </c>
      <c r="H16" s="3"/>
      <c r="I16" s="15">
        <f t="shared" si="1"/>
        <v>283067.5</v>
      </c>
      <c r="J16" s="15">
        <f>I16*$M$1</f>
        <v>259572.8975</v>
      </c>
      <c r="K16" s="16"/>
      <c r="L16" s="3"/>
      <c r="M16" s="3"/>
      <c r="N16" s="3"/>
    </row>
    <row r="17" s="1" customFormat="1" spans="1:14">
      <c r="A17" s="5"/>
      <c r="B17" s="3" t="s">
        <v>30</v>
      </c>
      <c r="C17" s="3" t="str">
        <f>VLOOKUP(B17,[1]ERP項目列表!B:C,2,0)</f>
        <v>高精度定位网络能力增强研究项目</v>
      </c>
      <c r="D17" s="3">
        <v>2025</v>
      </c>
      <c r="E17" s="3" t="s">
        <v>15</v>
      </c>
      <c r="F17" s="7">
        <v>743820</v>
      </c>
      <c r="G17" s="10">
        <v>29730.05</v>
      </c>
      <c r="H17" s="3"/>
      <c r="I17" s="15">
        <f>SUM(F17:G17)</f>
        <v>773550.05</v>
      </c>
      <c r="J17" s="15">
        <f>I17*$M$1</f>
        <v>709345.39585</v>
      </c>
      <c r="K17" s="16"/>
      <c r="L17" s="3"/>
      <c r="M17" s="3"/>
      <c r="N17" s="3"/>
    </row>
    <row r="18" s="1" customFormat="1" spans="1:14">
      <c r="A18" s="5"/>
      <c r="B18" s="3" t="s">
        <v>31</v>
      </c>
      <c r="C18" s="3" t="str">
        <f>VLOOKUP(B18,[1]ERP項目列表!B:C,2,0)</f>
        <v>多感知数据融合分析平台与融合通感基站一体化物理设计研究项目</v>
      </c>
      <c r="D18" s="3">
        <v>2025</v>
      </c>
      <c r="E18" s="3" t="s">
        <v>15</v>
      </c>
      <c r="F18" s="7">
        <v>424120</v>
      </c>
      <c r="G18" s="10">
        <v>186539.9</v>
      </c>
      <c r="H18" s="3"/>
      <c r="I18" s="15">
        <f>SUM(F18:G18)</f>
        <v>610659.9</v>
      </c>
      <c r="J18" s="15">
        <f>I18*$M$1</f>
        <v>559975.1283</v>
      </c>
      <c r="K18" s="16"/>
      <c r="L18" s="3"/>
      <c r="M18" s="3"/>
      <c r="N18" s="3"/>
    </row>
    <row r="19" s="1" customFormat="1" spans="1:14">
      <c r="A19" s="5"/>
      <c r="B19" s="3" t="s">
        <v>32</v>
      </c>
      <c r="C19" s="3" t="s">
        <v>33</v>
      </c>
      <c r="D19" s="3">
        <v>2025</v>
      </c>
      <c r="E19" s="3" t="s">
        <v>15</v>
      </c>
      <c r="F19" s="9"/>
      <c r="G19" s="10">
        <v>209869.25</v>
      </c>
      <c r="H19" s="3"/>
      <c r="I19" s="15">
        <f>SUM(F19:H19)</f>
        <v>209869.25</v>
      </c>
      <c r="J19" s="15">
        <f>I19*$M$1</f>
        <v>192450.10225</v>
      </c>
      <c r="K19" s="5"/>
      <c r="L19" s="3"/>
      <c r="M19" s="3"/>
      <c r="N19" s="3"/>
    </row>
    <row r="20" s="1" customFormat="1" spans="1:15">
      <c r="A20" s="5"/>
      <c r="B20" s="3" t="s">
        <v>34</v>
      </c>
      <c r="C20" s="3" t="s">
        <v>35</v>
      </c>
      <c r="D20" s="3">
        <v>2025</v>
      </c>
      <c r="E20" s="9" t="s">
        <v>18</v>
      </c>
      <c r="F20" s="7">
        <v>5183208.6622</v>
      </c>
      <c r="G20" s="6"/>
      <c r="H20" s="3"/>
      <c r="I20" s="15">
        <f>SUM(F20:H20)</f>
        <v>5183208.6622</v>
      </c>
      <c r="J20" s="15">
        <f>I20*$L$1</f>
        <v>4728641.26252506</v>
      </c>
      <c r="K20" s="5"/>
      <c r="L20" s="3"/>
      <c r="M20" s="3"/>
      <c r="N20" s="3"/>
      <c r="O20" s="21"/>
    </row>
    <row r="21" s="1" customFormat="1" spans="1:15">
      <c r="A21" s="5"/>
      <c r="B21" s="3"/>
      <c r="C21" s="3"/>
      <c r="D21" s="3"/>
      <c r="E21" s="3"/>
      <c r="F21" s="3"/>
      <c r="G21" s="3"/>
      <c r="H21" s="3"/>
      <c r="I21" s="15">
        <f>SUM(I5:I10,I13:I20)</f>
        <v>21383012.3318</v>
      </c>
      <c r="J21" s="22">
        <f>SUM(J5:J10,J13:J20)</f>
        <v>19551975.4343067</v>
      </c>
      <c r="K21" s="16"/>
      <c r="L21" s="3"/>
      <c r="M21" s="3"/>
      <c r="N21" s="3"/>
      <c r="O21" s="21"/>
    </row>
    <row r="22" s="1" customFormat="1" spans="1:14">
      <c r="A22" s="5"/>
      <c r="B22" s="3"/>
      <c r="C22" s="3"/>
      <c r="D22" s="3"/>
      <c r="E22" s="3"/>
      <c r="F22" s="3"/>
      <c r="G22" s="3"/>
      <c r="H22" s="3"/>
      <c r="I22" s="15">
        <f>I21-SUM([2]接收!X2:X31)-SUM([2]委外费用接收!AC2:AC24)-SUM([2]人工成本!AC2:AC1354)</f>
        <v>0</v>
      </c>
      <c r="J22" s="15">
        <f>J21-SUM([2]Sheet6!C4:C6,[2]Sheet6!C9)*L1-SUM([2]Sheet6!C7:C8)*M1-SUM([2]委外费用接收!AC2:AC24)*M1-SUM([2]人工成本!AC2:AC2000)*M1</f>
        <v>0</v>
      </c>
      <c r="K22" s="16"/>
      <c r="L22" s="23"/>
      <c r="M22" s="3"/>
      <c r="N22" s="3"/>
    </row>
    <row r="23" s="1" customFormat="1" ht="9" customHeight="1" spans="1:14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M23" s="3"/>
      <c r="N23" s="3"/>
    </row>
    <row r="24" s="1" customFormat="1" spans="1:1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4"/>
      <c r="M24" s="24"/>
      <c r="N24" s="24"/>
    </row>
    <row r="25" s="1" customFormat="1" spans="1:1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4"/>
      <c r="M25" s="24"/>
      <c r="N25" s="24"/>
    </row>
    <row r="26" s="1" customFormat="1" spans="1:1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4"/>
      <c r="M26" s="24"/>
      <c r="N26" s="24"/>
    </row>
    <row r="27" s="1" customFormat="1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4"/>
      <c r="M27" s="24"/>
      <c r="N27" s="24"/>
    </row>
    <row r="28" s="1" customFormat="1" spans="1:1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4"/>
      <c r="M28" s="24"/>
      <c r="N28" s="24"/>
    </row>
    <row r="29" s="1" customFormat="1" spans="1:1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4"/>
      <c r="M29" s="24"/>
      <c r="N29" s="24"/>
    </row>
    <row r="30" s="1" customFormat="1" spans="1:1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4"/>
      <c r="M30" s="24"/>
      <c r="N30" s="24"/>
    </row>
    <row r="31" s="1" customFormat="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4"/>
      <c r="M31" s="24"/>
      <c r="N31" s="24"/>
    </row>
    <row r="32" s="1" customFormat="1" spans="1:1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4"/>
      <c r="M32" s="24"/>
      <c r="N32" s="24"/>
    </row>
    <row r="33" s="1" customFormat="1" spans="1:1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4"/>
      <c r="M33" s="24"/>
      <c r="N33" s="24"/>
    </row>
    <row r="34" s="1" customFormat="1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4"/>
      <c r="M34" s="24"/>
      <c r="N34" s="24"/>
    </row>
    <row r="35" s="1" customFormat="1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4"/>
      <c r="M35" s="24"/>
      <c r="N35" s="24"/>
    </row>
    <row r="36" spans="1:1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4"/>
      <c r="M36" s="24"/>
      <c r="N36" s="24"/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4"/>
      <c r="M37" s="24"/>
      <c r="N37" s="24"/>
    </row>
    <row r="38" s="1" customFormat="1" spans="1:1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4"/>
      <c r="M38" s="24"/>
      <c r="N38" s="24"/>
    </row>
    <row r="39" s="1" customFormat="1" spans="1:1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4"/>
      <c r="M39" s="24"/>
      <c r="N39" s="24"/>
    </row>
    <row r="40" s="1" customFormat="1" spans="10:14">
      <c r="J40" s="14"/>
      <c r="K40" s="2"/>
      <c r="L40" s="24"/>
      <c r="M40" s="24"/>
      <c r="N40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项目维度研发经费投入表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Huang Xinyu</dc:creator>
  <cp:lastModifiedBy>P7409</cp:lastModifiedBy>
  <dcterms:created xsi:type="dcterms:W3CDTF">2025-07-21T09:59:00Z</dcterms:created>
  <dcterms:modified xsi:type="dcterms:W3CDTF">2025-11-04T06:52:17Z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7CCA3A6EBCF641C69C8D1E94207DD70F_12</vt:lpwstr>
  </property>
  <property fmtid="{D5CDD505-2E9C-101B-9397-08002B2CF9AE}" pid="3" name="KSOProductBuildVer">
    <vt:lpwstr>1033-12.2.0.22530</vt:lpwstr>
  </property>
</Properties>
</file>